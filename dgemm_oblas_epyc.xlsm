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ev\HPC\exercise2\"/>
    </mc:Choice>
  </mc:AlternateContent>
  <xr:revisionPtr revIDLastSave="0" documentId="13_ncr:1_{21423E68-A5A7-45FF-986A-2BFF5C4E9DF1}" xr6:coauthVersionLast="47" xr6:coauthVersionMax="47" xr10:uidLastSave="{00000000-0000-0000-0000-000000000000}"/>
  <bookViews>
    <workbookView xWindow="25800" yWindow="0" windowWidth="25800" windowHeight="20685" activeTab="1" xr2:uid="{616A4139-AB13-4F5F-9D5B-C66811A7245A}"/>
  </bookViews>
  <sheets>
    <sheet name="batch" sheetId="4" r:id="rId1"/>
    <sheet name="dati" sheetId="1" r:id="rId2"/>
    <sheet name="pivot" sheetId="2" r:id="rId3"/>
    <sheet name="pivot (2)" sheetId="3" r:id="rId4"/>
  </sheets>
  <definedNames>
    <definedName name="_xlnm._FilterDatabase" localSheetId="1" hidden="1">dati!$A$1:$G$41</definedName>
    <definedName name="_xlpm.in" hidden="1" xlm="1">#NAME?</definedName>
    <definedName name="_xlpm.rep" hidden="1" xlm="1">#NAME?</definedName>
    <definedName name="_xlpm.s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 a="1"/>
  <c r="B10" i="4" s="1"/>
  <c r="A10" i="4" a="1"/>
  <c r="A10" i="4" s="1"/>
  <c r="K17" i="4" s="1"/>
  <c r="C2" i="4"/>
  <c r="F2" i="4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2" i="1"/>
  <c r="U64" i="4" l="1"/>
  <c r="AD52" i="4"/>
  <c r="K56" i="4"/>
  <c r="U75" i="4"/>
  <c r="U11" i="4"/>
  <c r="AD79" i="4"/>
  <c r="K83" i="4"/>
  <c r="U74" i="4"/>
  <c r="AD78" i="4"/>
  <c r="AD62" i="4"/>
  <c r="AD46" i="4"/>
  <c r="AD30" i="4"/>
  <c r="AD14" i="4"/>
  <c r="K82" i="4"/>
  <c r="K66" i="4"/>
  <c r="K50" i="4"/>
  <c r="K33" i="4"/>
  <c r="K81" i="4"/>
  <c r="K65" i="4"/>
  <c r="K49" i="4"/>
  <c r="K32" i="4"/>
  <c r="U16" i="4"/>
  <c r="AD84" i="4"/>
  <c r="AD20" i="4"/>
  <c r="K72" i="4"/>
  <c r="U27" i="4"/>
  <c r="AD15" i="4"/>
  <c r="K67" i="4"/>
  <c r="U58" i="4"/>
  <c r="U25" i="4"/>
  <c r="AD61" i="4"/>
  <c r="AD45" i="4"/>
  <c r="AD29" i="4"/>
  <c r="AD13" i="4"/>
  <c r="U72" i="4"/>
  <c r="U56" i="4"/>
  <c r="U40" i="4"/>
  <c r="U24" i="4"/>
  <c r="AD76" i="4"/>
  <c r="AD60" i="4"/>
  <c r="AD44" i="4"/>
  <c r="AD28" i="4"/>
  <c r="AD12" i="4"/>
  <c r="K80" i="4"/>
  <c r="K64" i="4"/>
  <c r="K48" i="4"/>
  <c r="K27" i="4"/>
  <c r="U80" i="4"/>
  <c r="AD68" i="4"/>
  <c r="K35" i="4"/>
  <c r="AD63" i="4"/>
  <c r="U26" i="4"/>
  <c r="U57" i="4"/>
  <c r="AD77" i="4"/>
  <c r="U83" i="4"/>
  <c r="U35" i="4"/>
  <c r="U19" i="4"/>
  <c r="AD71" i="4"/>
  <c r="AD55" i="4"/>
  <c r="AD39" i="4"/>
  <c r="AD23" i="4"/>
  <c r="K75" i="4"/>
  <c r="K59" i="4"/>
  <c r="K43" i="4"/>
  <c r="K25" i="4"/>
  <c r="U48" i="4"/>
  <c r="AD36" i="4"/>
  <c r="U43" i="4"/>
  <c r="AD47" i="4"/>
  <c r="K34" i="4"/>
  <c r="U42" i="4"/>
  <c r="U41" i="4"/>
  <c r="U67" i="4"/>
  <c r="U82" i="4"/>
  <c r="U66" i="4"/>
  <c r="U50" i="4"/>
  <c r="U34" i="4"/>
  <c r="U18" i="4"/>
  <c r="AD70" i="4"/>
  <c r="AD54" i="4"/>
  <c r="AD38" i="4"/>
  <c r="AD22" i="4"/>
  <c r="K74" i="4"/>
  <c r="K58" i="4"/>
  <c r="K42" i="4"/>
  <c r="K19" i="4"/>
  <c r="U32" i="4"/>
  <c r="U59" i="4"/>
  <c r="AD31" i="4"/>
  <c r="K51" i="4"/>
  <c r="U73" i="4"/>
  <c r="U51" i="4"/>
  <c r="U81" i="4"/>
  <c r="U65" i="4"/>
  <c r="U49" i="4"/>
  <c r="U33" i="4"/>
  <c r="U17" i="4"/>
  <c r="AD85" i="4"/>
  <c r="AD69" i="4"/>
  <c r="AD53" i="4"/>
  <c r="AD37" i="4"/>
  <c r="AD21" i="4"/>
  <c r="K73" i="4"/>
  <c r="K57" i="4"/>
  <c r="K41" i="4"/>
  <c r="K18" i="4"/>
  <c r="K26" i="4"/>
  <c r="K11" i="4"/>
  <c r="K12" i="4"/>
  <c r="K20" i="4"/>
  <c r="K28" i="4"/>
  <c r="K36" i="4"/>
  <c r="K44" i="4"/>
  <c r="K52" i="4"/>
  <c r="K60" i="4"/>
  <c r="K68" i="4"/>
  <c r="K76" i="4"/>
  <c r="K84" i="4"/>
  <c r="AD16" i="4"/>
  <c r="AD24" i="4"/>
  <c r="AD32" i="4"/>
  <c r="AD40" i="4"/>
  <c r="AD48" i="4"/>
  <c r="AD56" i="4"/>
  <c r="AD64" i="4"/>
  <c r="AD72" i="4"/>
  <c r="AD80" i="4"/>
  <c r="U12" i="4"/>
  <c r="U20" i="4"/>
  <c r="U28" i="4"/>
  <c r="U36" i="4"/>
  <c r="U44" i="4"/>
  <c r="U52" i="4"/>
  <c r="U60" i="4"/>
  <c r="U68" i="4"/>
  <c r="U76" i="4"/>
  <c r="U84" i="4"/>
  <c r="K30" i="4"/>
  <c r="K70" i="4"/>
  <c r="AD18" i="4"/>
  <c r="AD26" i="4"/>
  <c r="AD34" i="4"/>
  <c r="AD50" i="4"/>
  <c r="AD66" i="4"/>
  <c r="AD82" i="4"/>
  <c r="U22" i="4"/>
  <c r="U38" i="4"/>
  <c r="U54" i="4"/>
  <c r="U70" i="4"/>
  <c r="K24" i="4"/>
  <c r="K40" i="4"/>
  <c r="K13" i="4"/>
  <c r="K21" i="4"/>
  <c r="K29" i="4"/>
  <c r="K37" i="4"/>
  <c r="K45" i="4"/>
  <c r="K53" i="4"/>
  <c r="K61" i="4"/>
  <c r="K69" i="4"/>
  <c r="K77" i="4"/>
  <c r="K85" i="4"/>
  <c r="AD17" i="4"/>
  <c r="AD25" i="4"/>
  <c r="AD33" i="4"/>
  <c r="AD41" i="4"/>
  <c r="AD49" i="4"/>
  <c r="AD57" i="4"/>
  <c r="AD65" i="4"/>
  <c r="AD73" i="4"/>
  <c r="AD81" i="4"/>
  <c r="U13" i="4"/>
  <c r="U21" i="4"/>
  <c r="U29" i="4"/>
  <c r="U37" i="4"/>
  <c r="U45" i="4"/>
  <c r="U53" i="4"/>
  <c r="U61" i="4"/>
  <c r="U69" i="4"/>
  <c r="U77" i="4"/>
  <c r="U85" i="4"/>
  <c r="K22" i="4"/>
  <c r="K38" i="4"/>
  <c r="K46" i="4"/>
  <c r="K54" i="4"/>
  <c r="K62" i="4"/>
  <c r="K78" i="4"/>
  <c r="AD42" i="4"/>
  <c r="AD58" i="4"/>
  <c r="AD74" i="4"/>
  <c r="U14" i="4"/>
  <c r="U30" i="4"/>
  <c r="U46" i="4"/>
  <c r="U62" i="4"/>
  <c r="U78" i="4"/>
  <c r="K14" i="4"/>
  <c r="K15" i="4"/>
  <c r="K23" i="4"/>
  <c r="K31" i="4"/>
  <c r="K39" i="4"/>
  <c r="K47" i="4"/>
  <c r="K55" i="4"/>
  <c r="K63" i="4"/>
  <c r="K71" i="4"/>
  <c r="K79" i="4"/>
  <c r="AD11" i="4"/>
  <c r="AD19" i="4"/>
  <c r="AD27" i="4"/>
  <c r="AD35" i="4"/>
  <c r="AD43" i="4"/>
  <c r="AD51" i="4"/>
  <c r="AD59" i="4"/>
  <c r="AD67" i="4"/>
  <c r="AD75" i="4"/>
  <c r="AD83" i="4"/>
  <c r="U15" i="4"/>
  <c r="U23" i="4"/>
  <c r="U31" i="4"/>
  <c r="U39" i="4"/>
  <c r="U47" i="4"/>
  <c r="U55" i="4"/>
  <c r="U63" i="4"/>
  <c r="U71" i="4"/>
  <c r="U79" i="4"/>
  <c r="K16" i="4"/>
  <c r="C56" i="4"/>
  <c r="C20" i="4"/>
  <c r="C31" i="4"/>
  <c r="C13" i="4"/>
  <c r="C68" i="4"/>
  <c r="C66" i="4"/>
  <c r="C22" i="4"/>
  <c r="C84" i="4"/>
  <c r="C47" i="4"/>
  <c r="C11" i="4"/>
  <c r="C29" i="4"/>
  <c r="C59" i="4"/>
  <c r="C50" i="4"/>
  <c r="C77" i="4"/>
  <c r="C40" i="4"/>
  <c r="C17" i="4"/>
  <c r="C25" i="4"/>
  <c r="C33" i="4"/>
  <c r="C41" i="4"/>
  <c r="C49" i="4"/>
  <c r="C57" i="4"/>
  <c r="C65" i="4"/>
  <c r="C73" i="4"/>
  <c r="C81" i="4"/>
  <c r="C14" i="4"/>
  <c r="C23" i="4"/>
  <c r="C32" i="4"/>
  <c r="C42" i="4"/>
  <c r="C51" i="4"/>
  <c r="C60" i="4"/>
  <c r="C69" i="4"/>
  <c r="C78" i="4"/>
  <c r="C16" i="4"/>
  <c r="C35" i="4"/>
  <c r="C53" i="4"/>
  <c r="C71" i="4"/>
  <c r="C15" i="4"/>
  <c r="C24" i="4"/>
  <c r="C34" i="4"/>
  <c r="C43" i="4"/>
  <c r="C52" i="4"/>
  <c r="C61" i="4"/>
  <c r="C70" i="4"/>
  <c r="C79" i="4"/>
  <c r="C26" i="4"/>
  <c r="C44" i="4"/>
  <c r="C62" i="4"/>
  <c r="C80" i="4"/>
  <c r="C18" i="4"/>
  <c r="C27" i="4"/>
  <c r="C36" i="4"/>
  <c r="C45" i="4"/>
  <c r="C54" i="4"/>
  <c r="C63" i="4"/>
  <c r="C72" i="4"/>
  <c r="C82" i="4"/>
  <c r="C19" i="4"/>
  <c r="C28" i="4"/>
  <c r="C37" i="4"/>
  <c r="C46" i="4"/>
  <c r="C55" i="4"/>
  <c r="C64" i="4"/>
  <c r="C74" i="4"/>
  <c r="C83" i="4"/>
  <c r="C12" i="4"/>
  <c r="C21" i="4"/>
  <c r="C30" i="4"/>
  <c r="C39" i="4"/>
  <c r="C48" i="4"/>
  <c r="C58" i="4"/>
  <c r="C67" i="4"/>
  <c r="C76" i="4"/>
  <c r="C85" i="4"/>
  <c r="C75" i="4"/>
  <c r="C38" i="4"/>
  <c r="D2" i="4"/>
  <c r="E2" i="4"/>
  <c r="K10" i="4" l="1"/>
  <c r="U10" i="4"/>
  <c r="AD10" i="4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<sst xmlns="http://schemas.openxmlformats.org/spreadsheetml/2006/main" count="26" uniqueCount="19">
  <si>
    <t>m</t>
  </si>
  <si>
    <t>n</t>
  </si>
  <si>
    <t>k</t>
  </si>
  <si>
    <t>GFLOPS</t>
  </si>
  <si>
    <t>elapsed diff</t>
  </si>
  <si>
    <t>elapsed1</t>
  </si>
  <si>
    <t>elapsed2</t>
  </si>
  <si>
    <t>Average of GFLOPS</t>
  </si>
  <si>
    <t>Average of elapsed1</t>
  </si>
  <si>
    <t>Values</t>
  </si>
  <si>
    <t>Total</t>
  </si>
  <si>
    <t>srun -n1 --cpus-per-task=64  ./dgemm_mkl_optimized.x 2000 2000 2000 &gt;discarded_first_result_$csvname</t>
  </si>
  <si>
    <t>srun -n1 --cpus-per-task=64  ./dgemm_mkl_optimized.x 2000 2000 2000 &gt;$csvname</t>
  </si>
  <si>
    <t>srun -n1 --cpus-per-task=64  ./dgemm_</t>
  </si>
  <si>
    <t>range</t>
  </si>
  <si>
    <t>increase the size of matrices size from 2000x2000 to 20000x20000</t>
  </si>
  <si>
    <t>repetitions</t>
  </si>
  <si>
    <t>executions</t>
  </si>
  <si>
    <t>(single precision) or 14000x14000 (double precision)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</si>
</sst>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[dgemm_oblas_epyc.xlsm]pivot!PivotTable2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pivot!$D$3:$D$4</c:f>
              <c:strCache>
                <c:ptCount val="1"/>
                <c:pt idx="0">
                  <c:v>Average of GFLOPS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pivot!$D$5:$D$8</c:f>
              <c:numCache>
                <c:formatCode>General</c:formatCode>
                <c:ptCount val="4"/>
                <c:pt idx="0">
                  <c:v>26.807635900000001</c:v>
                </c:pt>
                <c:pt idx="1">
                  <c:v>66.867449999999991</c:v>
                </c:pt>
                <c:pt idx="2">
                  <c:v>149.5635771</c:v>
                </c:pt>
                <c:pt idx="3">
                  <c:v>341.20142179999999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55-4C51-8381-D5FB1F28F091}"/>
            </c:ext>
          </c:extLst>
        </c:ser>
        <c:ser>
          <c:idx val="1"/>
          <c:order val="1"/>
          <c:tx>
            <c:strRef>
              <c:f>pivot!$E$3:$E$4</c:f>
              <c:strCache>
                <c:ptCount val="1"/>
                <c:pt idx="0">
                  <c:v>Average of elapsed1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pivot!$E$5:$E$8</c:f>
              <c:numCache>
                <c:formatCode>General</c:formatCode>
                <c:ptCount val="4"/>
                <c:pt idx="0">
                  <c:v>6.0307447599999994E-2</c:v>
                </c:pt>
                <c:pt idx="1">
                  <c:v>9.5885622799999987E-2</c:v>
                </c:pt>
                <c:pt idx="2">
                  <c:v>0.1711958505</c:v>
                </c:pt>
                <c:pt idx="3">
                  <c:v>0.46909741479999995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55-4C51-8381-D5FB1F28F0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8300207"/>
        <c:axId val="558293967"/>
        <c:axId val="345979295"/>
      </c:line3DChart>
      <c:catAx>
        <c:axId val="558300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  <c:auto val="1"/>
        <c:lblAlgn val="ctr"/>
        <c:lblOffset val="100"/>
        <c:noMultiLvlLbl val="0"/>
      </c:catAx>
      <c:valAx>
        <c:axId val="5582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300207"/>
        <c:crosses val="autoZero"/>
        <c:crossBetween val="between"/>
      </c:valAx>
      <c:serAx>
        <c:axId val="345979295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[dgemm_oblas_epyc.xlsm]pivot (2)!PivotTable2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'pivot (2)'!$D$3:$D$4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(2)'!$A$5:$C$8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'pivot (2)'!$D$5:$D$8</c:f>
              <c:numCache>
                <c:formatCode>General</c:formatCode>
                <c:ptCount val="4"/>
                <c:pt idx="0">
                  <c:v>6.0307447599999994E-2</c:v>
                </c:pt>
                <c:pt idx="1">
                  <c:v>9.5885622799999987E-2</c:v>
                </c:pt>
                <c:pt idx="2">
                  <c:v>0.1711958505</c:v>
                </c:pt>
                <c:pt idx="3">
                  <c:v>0.46909741479999995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D-4810-A8AA-A19EF18EC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8300207"/>
        <c:axId val="558293967"/>
        <c:axId val="345979295"/>
      </c:line3DChart>
      <c:catAx>
        <c:axId val="558300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  <c:auto val="1"/>
        <c:lblAlgn val="ctr"/>
        <c:lblOffset val="100"/>
        <c:noMultiLvlLbl val="0"/>
      </c:catAx>
      <c:valAx>
        <c:axId val="5582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300207"/>
        <c:crosses val="autoZero"/>
        <c:crossBetween val="between"/>
      </c:valAx>
      <c:serAx>
        <c:axId val="345979295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16</xdr:row>
      <xdr:rowOff>161924</xdr:rowOff>
    </xdr:from>
    <xdr:to>
      <xdr:col>15</xdr:col>
      <xdr:colOff>523875</xdr:colOff>
      <xdr:row>42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7B5BA6-F0A2-E676-96C7-74B62CC9C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16</xdr:row>
      <xdr:rowOff>161924</xdr:rowOff>
    </xdr:from>
    <xdr:to>
      <xdr:col>15</xdr:col>
      <xdr:colOff>523875</xdr:colOff>
      <xdr:row>42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B61F10-E9C3-4CE5-A366-8C21A59BE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" refreshedDate="45108.800241087964" createdVersion="8" refreshedVersion="8" minRefreshableVersion="3" recordCount="40" xr:uid="{5076C871-9668-4FDC-9DA4-1CD77FEE6F83}">
  <cacheSource type="worksheet">
    <worksheetSource ref="A1:G41" sheet="dati"/>
  </cacheSource>
  <cacheFields count="7">
    <cacheField name="m" numFmtId="0">
      <sharedItems containsSemiMixedTypes="0" containsString="0" containsNumber="1" containsInteger="1" minValue="2000" maxValue="20000" count="4">
        <n v="2000"/>
        <n v="4000"/>
        <n v="8000"/>
        <n v="20000"/>
      </sharedItems>
    </cacheField>
    <cacheField name="n" numFmtId="0">
      <sharedItems containsSemiMixedTypes="0" containsString="0" containsNumber="1" containsInteger="1" minValue="2000" maxValue="20000" count="4">
        <n v="2000"/>
        <n v="4000"/>
        <n v="8000"/>
        <n v="20000"/>
      </sharedItems>
    </cacheField>
    <cacheField name="k" numFmtId="0">
      <sharedItems containsSemiMixedTypes="0" containsString="0" containsNumber="1" containsInteger="1" minValue="200" maxValue="200" count="1">
        <n v="200"/>
      </sharedItems>
    </cacheField>
    <cacheField name="elapsed1" numFmtId="164">
      <sharedItems containsSemiMixedTypes="0" containsString="0" containsNumber="1" minValue="5.5953850999999999E-2" maxValue="0.48518307799999999"/>
    </cacheField>
    <cacheField name="elapsed2" numFmtId="164">
      <sharedItems containsSemiMixedTypes="0" containsString="0" containsNumber="1" minValue="5.5953999999999997E-2" maxValue="0.48518299999999998"/>
    </cacheField>
    <cacheField name="GFLOPS" numFmtId="164">
      <sharedItems containsSemiMixedTypes="0" containsString="0" containsNumber="1" minValue="20.867162" maxValue="353.83473900000001"/>
    </cacheField>
    <cacheField name="elapsed diff" numFmtId="164">
      <sharedItems containsSemiMixedTypes="0" containsString="0" containsNumber="1" minValue="-4.4400000004385376E-7" maxValue="5.0000000001437783E-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n v="7.6675496999999995E-2"/>
    <n v="7.6674999999999993E-2"/>
    <n v="20.867162"/>
    <n v="4.9700000000207911E-7"/>
  </r>
  <r>
    <x v="0"/>
    <x v="0"/>
    <x v="0"/>
    <n v="5.7080222E-2"/>
    <n v="5.7079999999999999E-2"/>
    <n v="28.030725"/>
    <n v="2.220000000011102E-7"/>
  </r>
  <r>
    <x v="0"/>
    <x v="0"/>
    <x v="0"/>
    <n v="5.6217977000000002E-2"/>
    <n v="5.6217999999999997E-2"/>
    <n v="28.460647000000002"/>
    <n v="-2.2999999994832709E-8"/>
  </r>
  <r>
    <x v="0"/>
    <x v="0"/>
    <x v="0"/>
    <n v="5.5953850999999999E-2"/>
    <n v="5.5953999999999997E-2"/>
    <n v="28.594992999999999"/>
    <n v="-1.4899999999790081E-7"/>
  </r>
  <r>
    <x v="0"/>
    <x v="0"/>
    <x v="0"/>
    <n v="5.7005620999999999E-2"/>
    <n v="5.7006000000000001E-2"/>
    <n v="28.067408"/>
    <n v="-3.7900000000173906E-7"/>
  </r>
  <r>
    <x v="0"/>
    <x v="0"/>
    <x v="0"/>
    <n v="6.0353487999999997E-2"/>
    <n v="6.0352999999999997E-2"/>
    <n v="26.510480999999999"/>
    <n v="4.8799999999987742E-7"/>
  </r>
  <r>
    <x v="0"/>
    <x v="0"/>
    <x v="0"/>
    <n v="5.6578109000000001E-2"/>
    <n v="5.6578000000000003E-2"/>
    <n v="28.279489000000002"/>
    <n v="1.0899999999813836E-7"/>
  </r>
  <r>
    <x v="0"/>
    <x v="0"/>
    <x v="0"/>
    <n v="5.6784411999999999E-2"/>
    <n v="5.6784000000000001E-2"/>
    <n v="28.176746999999999"/>
    <n v="4.119999999982471E-7"/>
  </r>
  <r>
    <x v="0"/>
    <x v="0"/>
    <x v="0"/>
    <n v="6.9249368000000006E-2"/>
    <n v="6.9249000000000005E-2"/>
    <n v="23.104904000000001"/>
    <n v="3.6800000000059008E-7"/>
  </r>
  <r>
    <x v="0"/>
    <x v="0"/>
    <x v="0"/>
    <n v="5.7175930999999999E-2"/>
    <n v="5.7175999999999998E-2"/>
    <n v="27.983803000000002"/>
    <n v="-6.8999999998375916E-8"/>
  </r>
  <r>
    <x v="1"/>
    <x v="1"/>
    <x v="0"/>
    <n v="9.2028941000000003E-2"/>
    <n v="9.2029E-2"/>
    <n v="69.543340999999998"/>
    <n v="-5.8999999996700581E-8"/>
  </r>
  <r>
    <x v="1"/>
    <x v="1"/>
    <x v="0"/>
    <n v="9.2226002000000001E-2"/>
    <n v="9.2226000000000002E-2"/>
    <n v="69.394745999999998"/>
    <n v="1.9999999989472883E-9"/>
  </r>
  <r>
    <x v="1"/>
    <x v="1"/>
    <x v="0"/>
    <n v="9.4276598000000003E-2"/>
    <n v="9.4277E-2"/>
    <n v="67.885351999999997"/>
    <n v="-4.0199999999657177E-7"/>
  </r>
  <r>
    <x v="1"/>
    <x v="1"/>
    <x v="0"/>
    <n v="0.10392446700000001"/>
    <n v="0.103924"/>
    <n v="61.583188"/>
    <n v="4.67000000003992E-7"/>
  </r>
  <r>
    <x v="1"/>
    <x v="1"/>
    <x v="0"/>
    <n v="9.4956083999999996E-2"/>
    <n v="9.4955999999999999E-2"/>
    <n v="67.399578000000005"/>
    <n v="8.3999999997419472E-8"/>
  </r>
  <r>
    <x v="1"/>
    <x v="1"/>
    <x v="0"/>
    <n v="9.4226092999999997E-2"/>
    <n v="9.4226000000000004E-2"/>
    <n v="67.921738000000005"/>
    <n v="9.299999999268227E-8"/>
  </r>
  <r>
    <x v="1"/>
    <x v="1"/>
    <x v="0"/>
    <n v="9.3878496000000006E-2"/>
    <n v="9.3878000000000003E-2"/>
    <n v="68.173226999999997"/>
    <n v="4.9600000000260547E-7"/>
  </r>
  <r>
    <x v="1"/>
    <x v="1"/>
    <x v="0"/>
    <n v="9.5555724999999994E-2"/>
    <n v="9.5556000000000002E-2"/>
    <n v="66.976624999999999"/>
    <n v="-2.7500000000790781E-7"/>
  </r>
  <r>
    <x v="1"/>
    <x v="1"/>
    <x v="0"/>
    <n v="9.3666052E-2"/>
    <n v="9.3665999999999999E-2"/>
    <n v="68.327850999999995"/>
    <n v="5.2000000000385072E-8"/>
  </r>
  <r>
    <x v="1"/>
    <x v="1"/>
    <x v="0"/>
    <n v="0.10411777"/>
    <n v="0.104118"/>
    <n v="61.468854"/>
    <n v="-2.3000000000383825E-7"/>
  </r>
  <r>
    <x v="2"/>
    <x v="2"/>
    <x v="0"/>
    <n v="0.16989834300000001"/>
    <n v="0.16989799999999999"/>
    <n v="150.678338"/>
    <n v="3.4300000001374897E-7"/>
  </r>
  <r>
    <x v="2"/>
    <x v="2"/>
    <x v="0"/>
    <n v="0.167292155"/>
    <n v="0.167292"/>
    <n v="153.02570499999999"/>
    <n v="1.5500000000168157E-7"/>
  </r>
  <r>
    <x v="2"/>
    <x v="2"/>
    <x v="0"/>
    <n v="0.17061693999999999"/>
    <n v="0.17061699999999999"/>
    <n v="150.04371800000001"/>
    <n v="-5.9999999996174225E-8"/>
  </r>
  <r>
    <x v="2"/>
    <x v="2"/>
    <x v="0"/>
    <n v="0.172001927"/>
    <n v="0.17200199999999999"/>
    <n v="148.835542"/>
    <n v="-7.2999999989331599E-8"/>
  </r>
  <r>
    <x v="2"/>
    <x v="2"/>
    <x v="0"/>
    <n v="0.171651319"/>
    <n v="0.171651"/>
    <n v="149.13954699999999"/>
    <n v="3.1899999999862594E-7"/>
  </r>
  <r>
    <x v="2"/>
    <x v="2"/>
    <x v="0"/>
    <n v="0.16826284699999999"/>
    <n v="0.168263"/>
    <n v="152.14291499999999"/>
    <n v="-1.5300000000273428E-7"/>
  </r>
  <r>
    <x v="2"/>
    <x v="2"/>
    <x v="0"/>
    <n v="0.17102766999999999"/>
    <n v="0.17102800000000001"/>
    <n v="149.68338199999999"/>
    <n v="-3.300000000205916E-7"/>
  </r>
  <r>
    <x v="2"/>
    <x v="2"/>
    <x v="0"/>
    <n v="0.17501008800000001"/>
    <n v="0.17501"/>
    <n v="146.27728200000001"/>
    <n v="8.8000000009191837E-8"/>
  </r>
  <r>
    <x v="2"/>
    <x v="2"/>
    <x v="0"/>
    <n v="0.174663596"/>
    <n v="0.17466400000000001"/>
    <n v="146.56746200000001"/>
    <n v="-4.0400000000939684E-7"/>
  </r>
  <r>
    <x v="2"/>
    <x v="2"/>
    <x v="0"/>
    <n v="0.17153362"/>
    <n v="0.17153399999999999"/>
    <n v="149.24188000000001"/>
    <n v="-3.7999999999427381E-7"/>
  </r>
  <r>
    <x v="3"/>
    <x v="3"/>
    <x v="0"/>
    <n v="0.47660337000000003"/>
    <n v="0.476603"/>
    <n v="335.70891499999999"/>
    <n v="3.7000000002729294E-7"/>
  </r>
  <r>
    <x v="3"/>
    <x v="3"/>
    <x v="0"/>
    <n v="0.46860347000000002"/>
    <n v="0.46860299999999999"/>
    <n v="341.440067"/>
    <n v="4.7000000003016851E-7"/>
  </r>
  <r>
    <x v="3"/>
    <x v="3"/>
    <x v="0"/>
    <n v="0.48518307799999999"/>
    <n v="0.48518299999999998"/>
    <n v="329.772425"/>
    <n v="7.8000000014455395E-8"/>
  </r>
  <r>
    <x v="3"/>
    <x v="3"/>
    <x v="0"/>
    <n v="0.47585402500000001"/>
    <n v="0.475854"/>
    <n v="336.23756800000001"/>
    <n v="2.5000000014596679E-8"/>
  </r>
  <r>
    <x v="3"/>
    <x v="3"/>
    <x v="0"/>
    <n v="0.47360355599999998"/>
    <n v="0.47360400000000002"/>
    <n v="337.83530100000002"/>
    <n v="-4.4400000004385376E-7"/>
  </r>
  <r>
    <x v="3"/>
    <x v="3"/>
    <x v="0"/>
    <n v="0.463093798"/>
    <n v="0.46309400000000001"/>
    <n v="345.50236000000001"/>
    <n v="-2.0200000000469842E-7"/>
  </r>
  <r>
    <x v="3"/>
    <x v="3"/>
    <x v="0"/>
    <n v="0.45218849999999999"/>
    <n v="0.45218799999999998"/>
    <n v="353.83473900000001"/>
    <n v="5.0000000001437783E-7"/>
  </r>
  <r>
    <x v="3"/>
    <x v="3"/>
    <x v="0"/>
    <n v="0.460908922"/>
    <n v="0.46090900000000001"/>
    <n v="347.14016700000002"/>
    <n v="-7.8000000014455395E-8"/>
  </r>
  <r>
    <x v="3"/>
    <x v="3"/>
    <x v="0"/>
    <n v="0.46642243999999999"/>
    <n v="0.466422"/>
    <n v="343.03666900000002"/>
    <n v="4.3999999999044803E-7"/>
  </r>
  <r>
    <x v="3"/>
    <x v="3"/>
    <x v="0"/>
    <n v="0.46851298899999999"/>
    <n v="0.46851300000000001"/>
    <n v="341.50600700000001"/>
    <n v="-1.1000000021965661E-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29848-D47B-410F-B604-9806963E1CEB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 chartFormat="1">
  <location ref="A3:E8" firstHeaderRow="1" firstDataRow="2" firstDataCol="3"/>
  <pivotFields count="7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>
      <items count="2">
        <item x="0"/>
        <item t="default"/>
      </items>
    </pivotField>
    <pivotField dataField="1" compact="0" numFmtId="164" outline="0" showAll="0"/>
    <pivotField compact="0" numFmtId="164" outline="0" showAll="0"/>
    <pivotField dataField="1" compact="0" numFmtId="164" outline="0" showAll="0"/>
    <pivotField compact="0" numFmtId="164" outline="0" showAll="0"/>
  </pivotFields>
  <rowFields count="3">
    <field x="0"/>
    <field x="1"/>
    <field x="2"/>
  </rowFields>
  <rowItems count="4">
    <i>
      <x/>
      <x/>
      <x/>
    </i>
    <i>
      <x v="1"/>
      <x v="1"/>
      <x/>
    </i>
    <i>
      <x v="2"/>
      <x v="2"/>
      <x/>
    </i>
    <i>
      <x v="3"/>
      <x v="3"/>
      <x/>
    </i>
  </rowItems>
  <colFields count="1">
    <field x="-2"/>
  </colFields>
  <colItems count="2">
    <i>
      <x/>
    </i>
    <i i="1">
      <x v="1"/>
    </i>
  </colItems>
  <dataFields count="2">
    <dataField name="Average of GFLOPS" fld="5" subtotal="average" baseField="0" baseItem="0"/>
    <dataField name="Average of elapsed1" fld="3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BFBD15-9B11-4018-AC8B-890DFFFCF6C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 chartFormat="2">
  <location ref="A3:D8" firstHeaderRow="2" firstDataRow="2" firstDataCol="3"/>
  <pivotFields count="7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>
      <items count="2">
        <item x="0"/>
        <item t="default"/>
      </items>
    </pivotField>
    <pivotField dataField="1" compact="0" numFmtId="164" outline="0" showAll="0"/>
    <pivotField compact="0" numFmtId="164" outline="0" showAll="0"/>
    <pivotField compact="0" numFmtId="164" outline="0" showAll="0"/>
    <pivotField compact="0" numFmtId="164" outline="0" showAll="0"/>
  </pivotFields>
  <rowFields count="3">
    <field x="0"/>
    <field x="1"/>
    <field x="2"/>
  </rowFields>
  <rowItems count="4">
    <i>
      <x/>
      <x/>
      <x/>
    </i>
    <i>
      <x v="1"/>
      <x v="1"/>
      <x/>
    </i>
    <i>
      <x v="2"/>
      <x v="2"/>
      <x/>
    </i>
    <i>
      <x v="3"/>
      <x v="3"/>
      <x/>
    </i>
  </rowItems>
  <colItems count="1">
    <i/>
  </colItems>
  <dataFields count="1">
    <dataField name="Average of elapsed1" fld="3" subtotal="average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BCAD-7B55-43CB-ABA8-B081C51800D6}">
  <dimension ref="A1:AD85"/>
  <sheetViews>
    <sheetView workbookViewId="0"/>
  </sheetViews>
  <sheetFormatPr defaultRowHeight="15" x14ac:dyDescent="0.25"/>
  <sheetData>
    <row r="1" spans="1:30" x14ac:dyDescent="0.25">
      <c r="A1" t="s">
        <v>15</v>
      </c>
    </row>
    <row r="2" spans="1:30" x14ac:dyDescent="0.25">
      <c r="A2">
        <v>2000</v>
      </c>
      <c r="B2">
        <v>20000</v>
      </c>
      <c r="C2">
        <f>B2-A2</f>
        <v>18000</v>
      </c>
      <c r="D2">
        <f>$C$2/18</f>
        <v>1000</v>
      </c>
      <c r="E2">
        <f>$C$2/36</f>
        <v>500</v>
      </c>
      <c r="F2">
        <f>$C$2/72</f>
        <v>250</v>
      </c>
    </row>
    <row r="3" spans="1:30" x14ac:dyDescent="0.25">
      <c r="A3" t="s">
        <v>11</v>
      </c>
    </row>
    <row r="4" spans="1:30" x14ac:dyDescent="0.25">
      <c r="A4" t="s">
        <v>12</v>
      </c>
    </row>
    <row r="5" spans="1:30" x14ac:dyDescent="0.25">
      <c r="A5" t="s">
        <v>13</v>
      </c>
    </row>
    <row r="6" spans="1:30" x14ac:dyDescent="0.25">
      <c r="A6" t="s">
        <v>18</v>
      </c>
    </row>
    <row r="7" spans="1:30" x14ac:dyDescent="0.25">
      <c r="A7" t="s">
        <v>16</v>
      </c>
    </row>
    <row r="8" spans="1:30" x14ac:dyDescent="0.25">
      <c r="A8">
        <v>4</v>
      </c>
    </row>
    <row r="9" spans="1:30" x14ac:dyDescent="0.25">
      <c r="A9" t="s">
        <v>14</v>
      </c>
      <c r="B9" t="s">
        <v>17</v>
      </c>
    </row>
    <row r="10" spans="1:30" x14ac:dyDescent="0.25">
      <c r="A10" cm="1">
        <f t="array" ref="A10:A28">_xlfn.SEQUENCE(18+1,1,2000,1000)</f>
        <v>2000</v>
      </c>
      <c r="B10" cm="1">
        <f t="array" ref="B10:B85">_xlfn.LET(_xlpm.in,A10:A28,_xlpm.rep,A8,_xlpm.s,_xlfn.SEQUENCE(ROWS(_xlpm.in)*_xlpm.rep,1,0),INDEX(_xlpm.in,QUOTIENT(_xlpm.s,_xlpm.rep)+1))</f>
        <v>2000</v>
      </c>
      <c r="C10" t="str">
        <f>$A$5 &amp; "mkl.x " &amp; B10 &amp; " " &amp; B10 &amp; " " &amp; B10 &amp; " &gt;&gt;$csvname"</f>
        <v>srun -n1 --cpus-per-task=64  ./dgemm_mkl.x 2000 2000 2000 &gt;&gt;$csvname</v>
      </c>
      <c r="J10">
        <v>0</v>
      </c>
      <c r="K10" t="str">
        <f>$A$5 &amp; "mkl_optimized.x " &amp; $B10 &amp; " " &amp; $B10 &amp; " " &amp; $B10 &amp; " &gt;&gt;$csvname"</f>
        <v>srun -n1 --cpus-per-task=64  ./dgemm_mkl_optimized.x 2000 2000 2000 &gt;&gt;$csvname</v>
      </c>
      <c r="T10">
        <v>0</v>
      </c>
      <c r="U10" t="str">
        <f>$A$5 &amp; "oblas.x " &amp; $B10 &amp; " " &amp; $B10 &amp; " " &amp; $B10 &amp; " &gt;&gt;$csvname"</f>
        <v>srun -n1 --cpus-per-task=64  ./dgemm_oblas.x 2000 2000 2000 &gt;&gt;$csvname</v>
      </c>
      <c r="AC10">
        <v>0</v>
      </c>
      <c r="AD10" t="str">
        <f>$A$5 &amp; "oblas_optimized.x " &amp; $B10 &amp; " " &amp; $B10 &amp; " " &amp; $B10 &amp; " &gt;&gt;$csvname"</f>
        <v>srun -n1 --cpus-per-task=64  ./dgemm_oblas_optimized.x 2000 2000 2000 &gt;&gt;$csvname</v>
      </c>
    </row>
    <row r="11" spans="1:30" x14ac:dyDescent="0.25">
      <c r="A11">
        <v>3000</v>
      </c>
      <c r="B11">
        <v>2000</v>
      </c>
      <c r="C11" t="str">
        <f t="shared" ref="C11:C74" si="0">$A$5 &amp; "mkl.x " &amp; B11 &amp; " " &amp; B11 &amp; " " &amp; B11 &amp; " &gt;&gt;$csvname"</f>
        <v>srun -n1 --cpus-per-task=64  ./dgemm_mkl.x 2000 2000 2000 &gt;&gt;$csvname</v>
      </c>
      <c r="J11">
        <v>0</v>
      </c>
      <c r="K11" t="str">
        <f t="shared" ref="K11:K74" si="1">$A$5 &amp; "mkl_optimized.x " &amp; $B11 &amp; " " &amp; $B11 &amp; " " &amp; $B11 &amp; " &gt;&gt;$csvname"</f>
        <v>srun -n1 --cpus-per-task=64  ./dgemm_mkl_optimized.x 2000 2000 2000 &gt;&gt;$csvname</v>
      </c>
      <c r="T11">
        <v>0</v>
      </c>
      <c r="U11" t="str">
        <f t="shared" ref="U11:U74" si="2">$A$5 &amp; "oblas.x " &amp; $B11 &amp; " " &amp; $B11 &amp; " " &amp; $B11 &amp; " &gt;&gt;$csvname"</f>
        <v>srun -n1 --cpus-per-task=64  ./dgemm_oblas.x 2000 2000 2000 &gt;&gt;$csvname</v>
      </c>
      <c r="AC11">
        <v>0</v>
      </c>
      <c r="AD11" t="str">
        <f t="shared" ref="AD11:AD74" si="3">$A$5 &amp; "oblas_optimized.x " &amp; $B11 &amp; " " &amp; $B11 &amp; " " &amp; $B11 &amp; " &gt;&gt;$csvname"</f>
        <v>srun -n1 --cpus-per-task=64  ./dgemm_oblas_optimized.x 2000 2000 2000 &gt;&gt;$csvname</v>
      </c>
    </row>
    <row r="12" spans="1:30" x14ac:dyDescent="0.25">
      <c r="A12">
        <v>4000</v>
      </c>
      <c r="B12">
        <v>2000</v>
      </c>
      <c r="C12" t="str">
        <f t="shared" si="0"/>
        <v>srun -n1 --cpus-per-task=64  ./dgemm_mkl.x 2000 2000 2000 &gt;&gt;$csvname</v>
      </c>
      <c r="J12">
        <v>0</v>
      </c>
      <c r="K12" t="str">
        <f t="shared" si="1"/>
        <v>srun -n1 --cpus-per-task=64  ./dgemm_mkl_optimized.x 2000 2000 2000 &gt;&gt;$csvname</v>
      </c>
      <c r="T12">
        <v>0</v>
      </c>
      <c r="U12" t="str">
        <f t="shared" si="2"/>
        <v>srun -n1 --cpus-per-task=64  ./dgemm_oblas.x 2000 2000 2000 &gt;&gt;$csvname</v>
      </c>
      <c r="AC12">
        <v>0</v>
      </c>
      <c r="AD12" t="str">
        <f t="shared" si="3"/>
        <v>srun -n1 --cpus-per-task=64  ./dgemm_oblas_optimized.x 2000 2000 2000 &gt;&gt;$csvname</v>
      </c>
    </row>
    <row r="13" spans="1:30" x14ac:dyDescent="0.25">
      <c r="A13">
        <v>5000</v>
      </c>
      <c r="B13">
        <v>2000</v>
      </c>
      <c r="C13" t="str">
        <f t="shared" si="0"/>
        <v>srun -n1 --cpus-per-task=64  ./dgemm_mkl.x 2000 2000 2000 &gt;&gt;$csvname</v>
      </c>
      <c r="J13">
        <v>0</v>
      </c>
      <c r="K13" t="str">
        <f t="shared" si="1"/>
        <v>srun -n1 --cpus-per-task=64  ./dgemm_mkl_optimized.x 2000 2000 2000 &gt;&gt;$csvname</v>
      </c>
      <c r="T13">
        <v>0</v>
      </c>
      <c r="U13" t="str">
        <f t="shared" si="2"/>
        <v>srun -n1 --cpus-per-task=64  ./dgemm_oblas.x 2000 2000 2000 &gt;&gt;$csvname</v>
      </c>
      <c r="AC13">
        <v>0</v>
      </c>
      <c r="AD13" t="str">
        <f t="shared" si="3"/>
        <v>srun -n1 --cpus-per-task=64  ./dgemm_oblas_optimized.x 2000 2000 2000 &gt;&gt;$csvname</v>
      </c>
    </row>
    <row r="14" spans="1:30" x14ac:dyDescent="0.25">
      <c r="A14">
        <v>6000</v>
      </c>
      <c r="B14">
        <v>3000</v>
      </c>
      <c r="C14" t="str">
        <f t="shared" si="0"/>
        <v>srun -n1 --cpus-per-task=64  ./dgemm_mkl.x 3000 3000 3000 &gt;&gt;$csvname</v>
      </c>
      <c r="J14">
        <v>0</v>
      </c>
      <c r="K14" t="str">
        <f t="shared" si="1"/>
        <v>srun -n1 --cpus-per-task=64  ./dgemm_mkl_optimized.x 3000 3000 3000 &gt;&gt;$csvname</v>
      </c>
      <c r="T14">
        <v>0</v>
      </c>
      <c r="U14" t="str">
        <f t="shared" si="2"/>
        <v>srun -n1 --cpus-per-task=64  ./dgemm_oblas.x 3000 3000 3000 &gt;&gt;$csvname</v>
      </c>
      <c r="AC14">
        <v>0</v>
      </c>
      <c r="AD14" t="str">
        <f t="shared" si="3"/>
        <v>srun -n1 --cpus-per-task=64  ./dgemm_oblas_optimized.x 3000 3000 3000 &gt;&gt;$csvname</v>
      </c>
    </row>
    <row r="15" spans="1:30" x14ac:dyDescent="0.25">
      <c r="A15">
        <v>7000</v>
      </c>
      <c r="B15">
        <v>3000</v>
      </c>
      <c r="C15" t="str">
        <f t="shared" si="0"/>
        <v>srun -n1 --cpus-per-task=64  ./dgemm_mkl.x 3000 3000 3000 &gt;&gt;$csvname</v>
      </c>
      <c r="J15">
        <v>0</v>
      </c>
      <c r="K15" t="str">
        <f t="shared" si="1"/>
        <v>srun -n1 --cpus-per-task=64  ./dgemm_mkl_optimized.x 3000 3000 3000 &gt;&gt;$csvname</v>
      </c>
      <c r="T15">
        <v>0</v>
      </c>
      <c r="U15" t="str">
        <f t="shared" si="2"/>
        <v>srun -n1 --cpus-per-task=64  ./dgemm_oblas.x 3000 3000 3000 &gt;&gt;$csvname</v>
      </c>
      <c r="AC15">
        <v>0</v>
      </c>
      <c r="AD15" t="str">
        <f t="shared" si="3"/>
        <v>srun -n1 --cpus-per-task=64  ./dgemm_oblas_optimized.x 3000 3000 3000 &gt;&gt;$csvname</v>
      </c>
    </row>
    <row r="16" spans="1:30" x14ac:dyDescent="0.25">
      <c r="A16">
        <v>8000</v>
      </c>
      <c r="B16">
        <v>3000</v>
      </c>
      <c r="C16" t="str">
        <f t="shared" si="0"/>
        <v>srun -n1 --cpus-per-task=64  ./dgemm_mkl.x 3000 3000 3000 &gt;&gt;$csvname</v>
      </c>
      <c r="J16">
        <v>0</v>
      </c>
      <c r="K16" t="str">
        <f t="shared" si="1"/>
        <v>srun -n1 --cpus-per-task=64  ./dgemm_mkl_optimized.x 3000 3000 3000 &gt;&gt;$csvname</v>
      </c>
      <c r="T16">
        <v>0</v>
      </c>
      <c r="U16" t="str">
        <f t="shared" si="2"/>
        <v>srun -n1 --cpus-per-task=64  ./dgemm_oblas.x 3000 3000 3000 &gt;&gt;$csvname</v>
      </c>
      <c r="AC16">
        <v>0</v>
      </c>
      <c r="AD16" t="str">
        <f t="shared" si="3"/>
        <v>srun -n1 --cpus-per-task=64  ./dgemm_oblas_optimized.x 3000 3000 3000 &gt;&gt;$csvname</v>
      </c>
    </row>
    <row r="17" spans="1:30" x14ac:dyDescent="0.25">
      <c r="A17">
        <v>9000</v>
      </c>
      <c r="B17">
        <v>3000</v>
      </c>
      <c r="C17" t="str">
        <f t="shared" si="0"/>
        <v>srun -n1 --cpus-per-task=64  ./dgemm_mkl.x 3000 3000 3000 &gt;&gt;$csvname</v>
      </c>
      <c r="J17">
        <v>0</v>
      </c>
      <c r="K17" t="str">
        <f t="shared" si="1"/>
        <v>srun -n1 --cpus-per-task=64  ./dgemm_mkl_optimized.x 3000 3000 3000 &gt;&gt;$csvname</v>
      </c>
      <c r="T17">
        <v>0</v>
      </c>
      <c r="U17" t="str">
        <f t="shared" si="2"/>
        <v>srun -n1 --cpus-per-task=64  ./dgemm_oblas.x 3000 3000 3000 &gt;&gt;$csvname</v>
      </c>
      <c r="AC17">
        <v>0</v>
      </c>
      <c r="AD17" t="str">
        <f t="shared" si="3"/>
        <v>srun -n1 --cpus-per-task=64  ./dgemm_oblas_optimized.x 3000 3000 3000 &gt;&gt;$csvname</v>
      </c>
    </row>
    <row r="18" spans="1:30" x14ac:dyDescent="0.25">
      <c r="A18">
        <v>10000</v>
      </c>
      <c r="B18">
        <v>4000</v>
      </c>
      <c r="C18" t="str">
        <f t="shared" si="0"/>
        <v>srun -n1 --cpus-per-task=64  ./dgemm_mkl.x 4000 4000 4000 &gt;&gt;$csvname</v>
      </c>
      <c r="J18">
        <v>0</v>
      </c>
      <c r="K18" t="str">
        <f t="shared" si="1"/>
        <v>srun -n1 --cpus-per-task=64  ./dgemm_mkl_optimized.x 4000 4000 4000 &gt;&gt;$csvname</v>
      </c>
      <c r="T18">
        <v>0</v>
      </c>
      <c r="U18" t="str">
        <f t="shared" si="2"/>
        <v>srun -n1 --cpus-per-task=64  ./dgemm_oblas.x 4000 4000 4000 &gt;&gt;$csvname</v>
      </c>
      <c r="AC18">
        <v>0</v>
      </c>
      <c r="AD18" t="str">
        <f t="shared" si="3"/>
        <v>srun -n1 --cpus-per-task=64  ./dgemm_oblas_optimized.x 4000 4000 4000 &gt;&gt;$csvname</v>
      </c>
    </row>
    <row r="19" spans="1:30" x14ac:dyDescent="0.25">
      <c r="A19">
        <v>11000</v>
      </c>
      <c r="B19">
        <v>4000</v>
      </c>
      <c r="C19" t="str">
        <f t="shared" si="0"/>
        <v>srun -n1 --cpus-per-task=64  ./dgemm_mkl.x 4000 4000 4000 &gt;&gt;$csvname</v>
      </c>
      <c r="J19">
        <v>0</v>
      </c>
      <c r="K19" t="str">
        <f t="shared" si="1"/>
        <v>srun -n1 --cpus-per-task=64  ./dgemm_mkl_optimized.x 4000 4000 4000 &gt;&gt;$csvname</v>
      </c>
      <c r="T19">
        <v>0</v>
      </c>
      <c r="U19" t="str">
        <f t="shared" si="2"/>
        <v>srun -n1 --cpus-per-task=64  ./dgemm_oblas.x 4000 4000 4000 &gt;&gt;$csvname</v>
      </c>
      <c r="AC19">
        <v>0</v>
      </c>
      <c r="AD19" t="str">
        <f t="shared" si="3"/>
        <v>srun -n1 --cpus-per-task=64  ./dgemm_oblas_optimized.x 4000 4000 4000 &gt;&gt;$csvname</v>
      </c>
    </row>
    <row r="20" spans="1:30" x14ac:dyDescent="0.25">
      <c r="A20">
        <v>12000</v>
      </c>
      <c r="B20">
        <v>4000</v>
      </c>
      <c r="C20" t="str">
        <f t="shared" si="0"/>
        <v>srun -n1 --cpus-per-task=64  ./dgemm_mkl.x 4000 4000 4000 &gt;&gt;$csvname</v>
      </c>
      <c r="J20">
        <v>0</v>
      </c>
      <c r="K20" t="str">
        <f t="shared" si="1"/>
        <v>srun -n1 --cpus-per-task=64  ./dgemm_mkl_optimized.x 4000 4000 4000 &gt;&gt;$csvname</v>
      </c>
      <c r="T20">
        <v>0</v>
      </c>
      <c r="U20" t="str">
        <f t="shared" si="2"/>
        <v>srun -n1 --cpus-per-task=64  ./dgemm_oblas.x 4000 4000 4000 &gt;&gt;$csvname</v>
      </c>
      <c r="AC20">
        <v>0</v>
      </c>
      <c r="AD20" t="str">
        <f t="shared" si="3"/>
        <v>srun -n1 --cpus-per-task=64  ./dgemm_oblas_optimized.x 4000 4000 4000 &gt;&gt;$csvname</v>
      </c>
    </row>
    <row r="21" spans="1:30" x14ac:dyDescent="0.25">
      <c r="A21">
        <v>13000</v>
      </c>
      <c r="B21">
        <v>4000</v>
      </c>
      <c r="C21" t="str">
        <f t="shared" si="0"/>
        <v>srun -n1 --cpus-per-task=64  ./dgemm_mkl.x 4000 4000 4000 &gt;&gt;$csvname</v>
      </c>
      <c r="J21">
        <v>0</v>
      </c>
      <c r="K21" t="str">
        <f t="shared" si="1"/>
        <v>srun -n1 --cpus-per-task=64  ./dgemm_mkl_optimized.x 4000 4000 4000 &gt;&gt;$csvname</v>
      </c>
      <c r="T21">
        <v>0</v>
      </c>
      <c r="U21" t="str">
        <f t="shared" si="2"/>
        <v>srun -n1 --cpus-per-task=64  ./dgemm_oblas.x 4000 4000 4000 &gt;&gt;$csvname</v>
      </c>
      <c r="AC21">
        <v>0</v>
      </c>
      <c r="AD21" t="str">
        <f t="shared" si="3"/>
        <v>srun -n1 --cpus-per-task=64  ./dgemm_oblas_optimized.x 4000 4000 4000 &gt;&gt;$csvname</v>
      </c>
    </row>
    <row r="22" spans="1:30" x14ac:dyDescent="0.25">
      <c r="A22">
        <v>14000</v>
      </c>
      <c r="B22">
        <v>5000</v>
      </c>
      <c r="C22" t="str">
        <f t="shared" si="0"/>
        <v>srun -n1 --cpus-per-task=64  ./dgemm_mkl.x 5000 5000 5000 &gt;&gt;$csvname</v>
      </c>
      <c r="J22">
        <v>0</v>
      </c>
      <c r="K22" t="str">
        <f t="shared" si="1"/>
        <v>srun -n1 --cpus-per-task=64  ./dgemm_mkl_optimized.x 5000 5000 5000 &gt;&gt;$csvname</v>
      </c>
      <c r="T22">
        <v>0</v>
      </c>
      <c r="U22" t="str">
        <f t="shared" si="2"/>
        <v>srun -n1 --cpus-per-task=64  ./dgemm_oblas.x 5000 5000 5000 &gt;&gt;$csvname</v>
      </c>
      <c r="AC22">
        <v>0</v>
      </c>
      <c r="AD22" t="str">
        <f t="shared" si="3"/>
        <v>srun -n1 --cpus-per-task=64  ./dgemm_oblas_optimized.x 5000 5000 5000 &gt;&gt;$csvname</v>
      </c>
    </row>
    <row r="23" spans="1:30" x14ac:dyDescent="0.25">
      <c r="A23">
        <v>15000</v>
      </c>
      <c r="B23">
        <v>5000</v>
      </c>
      <c r="C23" t="str">
        <f t="shared" si="0"/>
        <v>srun -n1 --cpus-per-task=64  ./dgemm_mkl.x 5000 5000 5000 &gt;&gt;$csvname</v>
      </c>
      <c r="J23">
        <v>0</v>
      </c>
      <c r="K23" t="str">
        <f t="shared" si="1"/>
        <v>srun -n1 --cpus-per-task=64  ./dgemm_mkl_optimized.x 5000 5000 5000 &gt;&gt;$csvname</v>
      </c>
      <c r="T23">
        <v>0</v>
      </c>
      <c r="U23" t="str">
        <f t="shared" si="2"/>
        <v>srun -n1 --cpus-per-task=64  ./dgemm_oblas.x 5000 5000 5000 &gt;&gt;$csvname</v>
      </c>
      <c r="AC23">
        <v>0</v>
      </c>
      <c r="AD23" t="str">
        <f t="shared" si="3"/>
        <v>srun -n1 --cpus-per-task=64  ./dgemm_oblas_optimized.x 5000 5000 5000 &gt;&gt;$csvname</v>
      </c>
    </row>
    <row r="24" spans="1:30" x14ac:dyDescent="0.25">
      <c r="A24">
        <v>16000</v>
      </c>
      <c r="B24">
        <v>5000</v>
      </c>
      <c r="C24" t="str">
        <f t="shared" si="0"/>
        <v>srun -n1 --cpus-per-task=64  ./dgemm_mkl.x 5000 5000 5000 &gt;&gt;$csvname</v>
      </c>
      <c r="J24">
        <v>0</v>
      </c>
      <c r="K24" t="str">
        <f t="shared" si="1"/>
        <v>srun -n1 --cpus-per-task=64  ./dgemm_mkl_optimized.x 5000 5000 5000 &gt;&gt;$csvname</v>
      </c>
      <c r="T24">
        <v>0</v>
      </c>
      <c r="U24" t="str">
        <f t="shared" si="2"/>
        <v>srun -n1 --cpus-per-task=64  ./dgemm_oblas.x 5000 5000 5000 &gt;&gt;$csvname</v>
      </c>
      <c r="AC24">
        <v>0</v>
      </c>
      <c r="AD24" t="str">
        <f t="shared" si="3"/>
        <v>srun -n1 --cpus-per-task=64  ./dgemm_oblas_optimized.x 5000 5000 5000 &gt;&gt;$csvname</v>
      </c>
    </row>
    <row r="25" spans="1:30" x14ac:dyDescent="0.25">
      <c r="A25">
        <v>17000</v>
      </c>
      <c r="B25">
        <v>5000</v>
      </c>
      <c r="C25" t="str">
        <f t="shared" si="0"/>
        <v>srun -n1 --cpus-per-task=64  ./dgemm_mkl.x 5000 5000 5000 &gt;&gt;$csvname</v>
      </c>
      <c r="J25">
        <v>0</v>
      </c>
      <c r="K25" t="str">
        <f t="shared" si="1"/>
        <v>srun -n1 --cpus-per-task=64  ./dgemm_mkl_optimized.x 5000 5000 5000 &gt;&gt;$csvname</v>
      </c>
      <c r="T25">
        <v>0</v>
      </c>
      <c r="U25" t="str">
        <f t="shared" si="2"/>
        <v>srun -n1 --cpus-per-task=64  ./dgemm_oblas.x 5000 5000 5000 &gt;&gt;$csvname</v>
      </c>
      <c r="AC25">
        <v>0</v>
      </c>
      <c r="AD25" t="str">
        <f t="shared" si="3"/>
        <v>srun -n1 --cpus-per-task=64  ./dgemm_oblas_optimized.x 5000 5000 5000 &gt;&gt;$csvname</v>
      </c>
    </row>
    <row r="26" spans="1:30" x14ac:dyDescent="0.25">
      <c r="A26">
        <v>18000</v>
      </c>
      <c r="B26">
        <v>6000</v>
      </c>
      <c r="C26" t="str">
        <f t="shared" si="0"/>
        <v>srun -n1 --cpus-per-task=64  ./dgemm_mkl.x 6000 6000 6000 &gt;&gt;$csvname</v>
      </c>
      <c r="J26">
        <v>0</v>
      </c>
      <c r="K26" t="str">
        <f t="shared" si="1"/>
        <v>srun -n1 --cpus-per-task=64  ./dgemm_mkl_optimized.x 6000 6000 6000 &gt;&gt;$csvname</v>
      </c>
      <c r="T26">
        <v>0</v>
      </c>
      <c r="U26" t="str">
        <f t="shared" si="2"/>
        <v>srun -n1 --cpus-per-task=64  ./dgemm_oblas.x 6000 6000 6000 &gt;&gt;$csvname</v>
      </c>
      <c r="AC26">
        <v>0</v>
      </c>
      <c r="AD26" t="str">
        <f t="shared" si="3"/>
        <v>srun -n1 --cpus-per-task=64  ./dgemm_oblas_optimized.x 6000 6000 6000 &gt;&gt;$csvname</v>
      </c>
    </row>
    <row r="27" spans="1:30" x14ac:dyDescent="0.25">
      <c r="A27">
        <v>19000</v>
      </c>
      <c r="B27">
        <v>6000</v>
      </c>
      <c r="C27" t="str">
        <f t="shared" si="0"/>
        <v>srun -n1 --cpus-per-task=64  ./dgemm_mkl.x 6000 6000 6000 &gt;&gt;$csvname</v>
      </c>
      <c r="J27">
        <v>0</v>
      </c>
      <c r="K27" t="str">
        <f t="shared" si="1"/>
        <v>srun -n1 --cpus-per-task=64  ./dgemm_mkl_optimized.x 6000 6000 6000 &gt;&gt;$csvname</v>
      </c>
      <c r="T27">
        <v>0</v>
      </c>
      <c r="U27" t="str">
        <f t="shared" si="2"/>
        <v>srun -n1 --cpus-per-task=64  ./dgemm_oblas.x 6000 6000 6000 &gt;&gt;$csvname</v>
      </c>
      <c r="AC27">
        <v>0</v>
      </c>
      <c r="AD27" t="str">
        <f t="shared" si="3"/>
        <v>srun -n1 --cpus-per-task=64  ./dgemm_oblas_optimized.x 6000 6000 6000 &gt;&gt;$csvname</v>
      </c>
    </row>
    <row r="28" spans="1:30" x14ac:dyDescent="0.25">
      <c r="A28">
        <v>20000</v>
      </c>
      <c r="B28">
        <v>6000</v>
      </c>
      <c r="C28" t="str">
        <f t="shared" si="0"/>
        <v>srun -n1 --cpus-per-task=64  ./dgemm_mkl.x 6000 6000 6000 &gt;&gt;$csvname</v>
      </c>
      <c r="J28">
        <v>0</v>
      </c>
      <c r="K28" t="str">
        <f t="shared" si="1"/>
        <v>srun -n1 --cpus-per-task=64  ./dgemm_mkl_optimized.x 6000 6000 6000 &gt;&gt;$csvname</v>
      </c>
      <c r="T28">
        <v>0</v>
      </c>
      <c r="U28" t="str">
        <f t="shared" si="2"/>
        <v>srun -n1 --cpus-per-task=64  ./dgemm_oblas.x 6000 6000 6000 &gt;&gt;$csvname</v>
      </c>
      <c r="AC28">
        <v>0</v>
      </c>
      <c r="AD28" t="str">
        <f t="shared" si="3"/>
        <v>srun -n1 --cpus-per-task=64  ./dgemm_oblas_optimized.x 6000 6000 6000 &gt;&gt;$csvname</v>
      </c>
    </row>
    <row r="29" spans="1:30" x14ac:dyDescent="0.25">
      <c r="B29">
        <v>6000</v>
      </c>
      <c r="C29" t="str">
        <f t="shared" si="0"/>
        <v>srun -n1 --cpus-per-task=64  ./dgemm_mkl.x 6000 6000 6000 &gt;&gt;$csvname</v>
      </c>
      <c r="J29">
        <v>0</v>
      </c>
      <c r="K29" t="str">
        <f t="shared" si="1"/>
        <v>srun -n1 --cpus-per-task=64  ./dgemm_mkl_optimized.x 6000 6000 6000 &gt;&gt;$csvname</v>
      </c>
      <c r="T29">
        <v>0</v>
      </c>
      <c r="U29" t="str">
        <f t="shared" si="2"/>
        <v>srun -n1 --cpus-per-task=64  ./dgemm_oblas.x 6000 6000 6000 &gt;&gt;$csvname</v>
      </c>
      <c r="AC29">
        <v>0</v>
      </c>
      <c r="AD29" t="str">
        <f t="shared" si="3"/>
        <v>srun -n1 --cpus-per-task=64  ./dgemm_oblas_optimized.x 6000 6000 6000 &gt;&gt;$csvname</v>
      </c>
    </row>
    <row r="30" spans="1:30" x14ac:dyDescent="0.25">
      <c r="B30">
        <v>7000</v>
      </c>
      <c r="C30" t="str">
        <f t="shared" si="0"/>
        <v>srun -n1 --cpus-per-task=64  ./dgemm_mkl.x 7000 7000 7000 &gt;&gt;$csvname</v>
      </c>
      <c r="J30">
        <v>0</v>
      </c>
      <c r="K30" t="str">
        <f t="shared" si="1"/>
        <v>srun -n1 --cpus-per-task=64  ./dgemm_mkl_optimized.x 7000 7000 7000 &gt;&gt;$csvname</v>
      </c>
      <c r="T30">
        <v>0</v>
      </c>
      <c r="U30" t="str">
        <f t="shared" si="2"/>
        <v>srun -n1 --cpus-per-task=64  ./dgemm_oblas.x 7000 7000 7000 &gt;&gt;$csvname</v>
      </c>
      <c r="AC30">
        <v>0</v>
      </c>
      <c r="AD30" t="str">
        <f t="shared" si="3"/>
        <v>srun -n1 --cpus-per-task=64  ./dgemm_oblas_optimized.x 7000 7000 7000 &gt;&gt;$csvname</v>
      </c>
    </row>
    <row r="31" spans="1:30" x14ac:dyDescent="0.25">
      <c r="B31">
        <v>7000</v>
      </c>
      <c r="C31" t="str">
        <f t="shared" si="0"/>
        <v>srun -n1 --cpus-per-task=64  ./dgemm_mkl.x 7000 7000 7000 &gt;&gt;$csvname</v>
      </c>
      <c r="J31">
        <v>0</v>
      </c>
      <c r="K31" t="str">
        <f t="shared" si="1"/>
        <v>srun -n1 --cpus-per-task=64  ./dgemm_mkl_optimized.x 7000 7000 7000 &gt;&gt;$csvname</v>
      </c>
      <c r="T31">
        <v>0</v>
      </c>
      <c r="U31" t="str">
        <f t="shared" si="2"/>
        <v>srun -n1 --cpus-per-task=64  ./dgemm_oblas.x 7000 7000 7000 &gt;&gt;$csvname</v>
      </c>
      <c r="AC31">
        <v>0</v>
      </c>
      <c r="AD31" t="str">
        <f t="shared" si="3"/>
        <v>srun -n1 --cpus-per-task=64  ./dgemm_oblas_optimized.x 7000 7000 7000 &gt;&gt;$csvname</v>
      </c>
    </row>
    <row r="32" spans="1:30" x14ac:dyDescent="0.25">
      <c r="B32">
        <v>7000</v>
      </c>
      <c r="C32" t="str">
        <f t="shared" si="0"/>
        <v>srun -n1 --cpus-per-task=64  ./dgemm_mkl.x 7000 7000 7000 &gt;&gt;$csvname</v>
      </c>
      <c r="J32">
        <v>0</v>
      </c>
      <c r="K32" t="str">
        <f t="shared" si="1"/>
        <v>srun -n1 --cpus-per-task=64  ./dgemm_mkl_optimized.x 7000 7000 7000 &gt;&gt;$csvname</v>
      </c>
      <c r="T32">
        <v>0</v>
      </c>
      <c r="U32" t="str">
        <f t="shared" si="2"/>
        <v>srun -n1 --cpus-per-task=64  ./dgemm_oblas.x 7000 7000 7000 &gt;&gt;$csvname</v>
      </c>
      <c r="AC32">
        <v>0</v>
      </c>
      <c r="AD32" t="str">
        <f t="shared" si="3"/>
        <v>srun -n1 --cpus-per-task=64  ./dgemm_oblas_optimized.x 7000 7000 7000 &gt;&gt;$csvname</v>
      </c>
    </row>
    <row r="33" spans="2:30" x14ac:dyDescent="0.25">
      <c r="B33">
        <v>7000</v>
      </c>
      <c r="C33" t="str">
        <f t="shared" si="0"/>
        <v>srun -n1 --cpus-per-task=64  ./dgemm_mkl.x 7000 7000 7000 &gt;&gt;$csvname</v>
      </c>
      <c r="J33">
        <v>0</v>
      </c>
      <c r="K33" t="str">
        <f t="shared" si="1"/>
        <v>srun -n1 --cpus-per-task=64  ./dgemm_mkl_optimized.x 7000 7000 7000 &gt;&gt;$csvname</v>
      </c>
      <c r="T33">
        <v>0</v>
      </c>
      <c r="U33" t="str">
        <f t="shared" si="2"/>
        <v>srun -n1 --cpus-per-task=64  ./dgemm_oblas.x 7000 7000 7000 &gt;&gt;$csvname</v>
      </c>
      <c r="AC33">
        <v>0</v>
      </c>
      <c r="AD33" t="str">
        <f t="shared" si="3"/>
        <v>srun -n1 --cpus-per-task=64  ./dgemm_oblas_optimized.x 7000 7000 7000 &gt;&gt;$csvname</v>
      </c>
    </row>
    <row r="34" spans="2:30" x14ac:dyDescent="0.25">
      <c r="B34">
        <v>8000</v>
      </c>
      <c r="C34" t="str">
        <f t="shared" si="0"/>
        <v>srun -n1 --cpus-per-task=64  ./dgemm_mkl.x 8000 8000 8000 &gt;&gt;$csvname</v>
      </c>
      <c r="J34">
        <v>0</v>
      </c>
      <c r="K34" t="str">
        <f t="shared" si="1"/>
        <v>srun -n1 --cpus-per-task=64  ./dgemm_mkl_optimized.x 8000 8000 8000 &gt;&gt;$csvname</v>
      </c>
      <c r="T34">
        <v>0</v>
      </c>
      <c r="U34" t="str">
        <f t="shared" si="2"/>
        <v>srun -n1 --cpus-per-task=64  ./dgemm_oblas.x 8000 8000 8000 &gt;&gt;$csvname</v>
      </c>
      <c r="AC34">
        <v>0</v>
      </c>
      <c r="AD34" t="str">
        <f t="shared" si="3"/>
        <v>srun -n1 --cpus-per-task=64  ./dgemm_oblas_optimized.x 8000 8000 8000 &gt;&gt;$csvname</v>
      </c>
    </row>
    <row r="35" spans="2:30" x14ac:dyDescent="0.25">
      <c r="B35">
        <v>8000</v>
      </c>
      <c r="C35" t="str">
        <f t="shared" si="0"/>
        <v>srun -n1 --cpus-per-task=64  ./dgemm_mkl.x 8000 8000 8000 &gt;&gt;$csvname</v>
      </c>
      <c r="J35">
        <v>0</v>
      </c>
      <c r="K35" t="str">
        <f t="shared" si="1"/>
        <v>srun -n1 --cpus-per-task=64  ./dgemm_mkl_optimized.x 8000 8000 8000 &gt;&gt;$csvname</v>
      </c>
      <c r="T35">
        <v>0</v>
      </c>
      <c r="U35" t="str">
        <f t="shared" si="2"/>
        <v>srun -n1 --cpus-per-task=64  ./dgemm_oblas.x 8000 8000 8000 &gt;&gt;$csvname</v>
      </c>
      <c r="AC35">
        <v>0</v>
      </c>
      <c r="AD35" t="str">
        <f t="shared" si="3"/>
        <v>srun -n1 --cpus-per-task=64  ./dgemm_oblas_optimized.x 8000 8000 8000 &gt;&gt;$csvname</v>
      </c>
    </row>
    <row r="36" spans="2:30" x14ac:dyDescent="0.25">
      <c r="B36">
        <v>8000</v>
      </c>
      <c r="C36" t="str">
        <f t="shared" si="0"/>
        <v>srun -n1 --cpus-per-task=64  ./dgemm_mkl.x 8000 8000 8000 &gt;&gt;$csvname</v>
      </c>
      <c r="J36">
        <v>0</v>
      </c>
      <c r="K36" t="str">
        <f t="shared" si="1"/>
        <v>srun -n1 --cpus-per-task=64  ./dgemm_mkl_optimized.x 8000 8000 8000 &gt;&gt;$csvname</v>
      </c>
      <c r="T36">
        <v>0</v>
      </c>
      <c r="U36" t="str">
        <f t="shared" si="2"/>
        <v>srun -n1 --cpus-per-task=64  ./dgemm_oblas.x 8000 8000 8000 &gt;&gt;$csvname</v>
      </c>
      <c r="AC36">
        <v>0</v>
      </c>
      <c r="AD36" t="str">
        <f t="shared" si="3"/>
        <v>srun -n1 --cpus-per-task=64  ./dgemm_oblas_optimized.x 8000 8000 8000 &gt;&gt;$csvname</v>
      </c>
    </row>
    <row r="37" spans="2:30" x14ac:dyDescent="0.25">
      <c r="B37">
        <v>8000</v>
      </c>
      <c r="C37" t="str">
        <f t="shared" si="0"/>
        <v>srun -n1 --cpus-per-task=64  ./dgemm_mkl.x 8000 8000 8000 &gt;&gt;$csvname</v>
      </c>
      <c r="J37">
        <v>0</v>
      </c>
      <c r="K37" t="str">
        <f t="shared" si="1"/>
        <v>srun -n1 --cpus-per-task=64  ./dgemm_mkl_optimized.x 8000 8000 8000 &gt;&gt;$csvname</v>
      </c>
      <c r="T37">
        <v>0</v>
      </c>
      <c r="U37" t="str">
        <f t="shared" si="2"/>
        <v>srun -n1 --cpus-per-task=64  ./dgemm_oblas.x 8000 8000 8000 &gt;&gt;$csvname</v>
      </c>
      <c r="AC37">
        <v>0</v>
      </c>
      <c r="AD37" t="str">
        <f t="shared" si="3"/>
        <v>srun -n1 --cpus-per-task=64  ./dgemm_oblas_optimized.x 8000 8000 8000 &gt;&gt;$csvname</v>
      </c>
    </row>
    <row r="38" spans="2:30" x14ac:dyDescent="0.25">
      <c r="B38">
        <v>9000</v>
      </c>
      <c r="C38" t="str">
        <f t="shared" si="0"/>
        <v>srun -n1 --cpus-per-task=64  ./dgemm_mkl.x 9000 9000 9000 &gt;&gt;$csvname</v>
      </c>
      <c r="J38">
        <v>0</v>
      </c>
      <c r="K38" t="str">
        <f t="shared" si="1"/>
        <v>srun -n1 --cpus-per-task=64  ./dgemm_mkl_optimized.x 9000 9000 9000 &gt;&gt;$csvname</v>
      </c>
      <c r="T38">
        <v>0</v>
      </c>
      <c r="U38" t="str">
        <f t="shared" si="2"/>
        <v>srun -n1 --cpus-per-task=64  ./dgemm_oblas.x 9000 9000 9000 &gt;&gt;$csvname</v>
      </c>
      <c r="AC38">
        <v>0</v>
      </c>
      <c r="AD38" t="str">
        <f t="shared" si="3"/>
        <v>srun -n1 --cpus-per-task=64  ./dgemm_oblas_optimized.x 9000 9000 9000 &gt;&gt;$csvname</v>
      </c>
    </row>
    <row r="39" spans="2:30" x14ac:dyDescent="0.25">
      <c r="B39">
        <v>9000</v>
      </c>
      <c r="C39" t="str">
        <f t="shared" si="0"/>
        <v>srun -n1 --cpus-per-task=64  ./dgemm_mkl.x 9000 9000 9000 &gt;&gt;$csvname</v>
      </c>
      <c r="J39">
        <v>0</v>
      </c>
      <c r="K39" t="str">
        <f t="shared" si="1"/>
        <v>srun -n1 --cpus-per-task=64  ./dgemm_mkl_optimized.x 9000 9000 9000 &gt;&gt;$csvname</v>
      </c>
      <c r="T39">
        <v>0</v>
      </c>
      <c r="U39" t="str">
        <f t="shared" si="2"/>
        <v>srun -n1 --cpus-per-task=64  ./dgemm_oblas.x 9000 9000 9000 &gt;&gt;$csvname</v>
      </c>
      <c r="AC39">
        <v>0</v>
      </c>
      <c r="AD39" t="str">
        <f t="shared" si="3"/>
        <v>srun -n1 --cpus-per-task=64  ./dgemm_oblas_optimized.x 9000 9000 9000 &gt;&gt;$csvname</v>
      </c>
    </row>
    <row r="40" spans="2:30" x14ac:dyDescent="0.25">
      <c r="B40">
        <v>9000</v>
      </c>
      <c r="C40" t="str">
        <f t="shared" si="0"/>
        <v>srun -n1 --cpus-per-task=64  ./dgemm_mkl.x 9000 9000 9000 &gt;&gt;$csvname</v>
      </c>
      <c r="J40">
        <v>0</v>
      </c>
      <c r="K40" t="str">
        <f t="shared" si="1"/>
        <v>srun -n1 --cpus-per-task=64  ./dgemm_mkl_optimized.x 9000 9000 9000 &gt;&gt;$csvname</v>
      </c>
      <c r="T40">
        <v>0</v>
      </c>
      <c r="U40" t="str">
        <f t="shared" si="2"/>
        <v>srun -n1 --cpus-per-task=64  ./dgemm_oblas.x 9000 9000 9000 &gt;&gt;$csvname</v>
      </c>
      <c r="AC40">
        <v>0</v>
      </c>
      <c r="AD40" t="str">
        <f t="shared" si="3"/>
        <v>srun -n1 --cpus-per-task=64  ./dgemm_oblas_optimized.x 9000 9000 9000 &gt;&gt;$csvname</v>
      </c>
    </row>
    <row r="41" spans="2:30" x14ac:dyDescent="0.25">
      <c r="B41">
        <v>9000</v>
      </c>
      <c r="C41" t="str">
        <f t="shared" si="0"/>
        <v>srun -n1 --cpus-per-task=64  ./dgemm_mkl.x 9000 9000 9000 &gt;&gt;$csvname</v>
      </c>
      <c r="J41">
        <v>0</v>
      </c>
      <c r="K41" t="str">
        <f t="shared" si="1"/>
        <v>srun -n1 --cpus-per-task=64  ./dgemm_mkl_optimized.x 9000 9000 9000 &gt;&gt;$csvname</v>
      </c>
      <c r="T41">
        <v>0</v>
      </c>
      <c r="U41" t="str">
        <f t="shared" si="2"/>
        <v>srun -n1 --cpus-per-task=64  ./dgemm_oblas.x 9000 9000 9000 &gt;&gt;$csvname</v>
      </c>
      <c r="AC41">
        <v>0</v>
      </c>
      <c r="AD41" t="str">
        <f t="shared" si="3"/>
        <v>srun -n1 --cpus-per-task=64  ./dgemm_oblas_optimized.x 9000 9000 9000 &gt;&gt;$csvname</v>
      </c>
    </row>
    <row r="42" spans="2:30" x14ac:dyDescent="0.25">
      <c r="B42">
        <v>10000</v>
      </c>
      <c r="C42" t="str">
        <f t="shared" si="0"/>
        <v>srun -n1 --cpus-per-task=64  ./dgemm_mkl.x 10000 10000 10000 &gt;&gt;$csvname</v>
      </c>
      <c r="J42">
        <v>0</v>
      </c>
      <c r="K42" t="str">
        <f t="shared" si="1"/>
        <v>srun -n1 --cpus-per-task=64  ./dgemm_mkl_optimized.x 10000 10000 10000 &gt;&gt;$csvname</v>
      </c>
      <c r="T42">
        <v>0</v>
      </c>
      <c r="U42" t="str">
        <f t="shared" si="2"/>
        <v>srun -n1 --cpus-per-task=64  ./dgemm_oblas.x 10000 10000 10000 &gt;&gt;$csvname</v>
      </c>
      <c r="AC42">
        <v>0</v>
      </c>
      <c r="AD42" t="str">
        <f t="shared" si="3"/>
        <v>srun -n1 --cpus-per-task=64  ./dgemm_oblas_optimized.x 10000 10000 10000 &gt;&gt;$csvname</v>
      </c>
    </row>
    <row r="43" spans="2:30" x14ac:dyDescent="0.25">
      <c r="B43">
        <v>10000</v>
      </c>
      <c r="C43" t="str">
        <f t="shared" si="0"/>
        <v>srun -n1 --cpus-per-task=64  ./dgemm_mkl.x 10000 10000 10000 &gt;&gt;$csvname</v>
      </c>
      <c r="J43">
        <v>0</v>
      </c>
      <c r="K43" t="str">
        <f t="shared" si="1"/>
        <v>srun -n1 --cpus-per-task=64  ./dgemm_mkl_optimized.x 10000 10000 10000 &gt;&gt;$csvname</v>
      </c>
      <c r="T43">
        <v>0</v>
      </c>
      <c r="U43" t="str">
        <f t="shared" si="2"/>
        <v>srun -n1 --cpus-per-task=64  ./dgemm_oblas.x 10000 10000 10000 &gt;&gt;$csvname</v>
      </c>
      <c r="AC43">
        <v>0</v>
      </c>
      <c r="AD43" t="str">
        <f t="shared" si="3"/>
        <v>srun -n1 --cpus-per-task=64  ./dgemm_oblas_optimized.x 10000 10000 10000 &gt;&gt;$csvname</v>
      </c>
    </row>
    <row r="44" spans="2:30" x14ac:dyDescent="0.25">
      <c r="B44">
        <v>10000</v>
      </c>
      <c r="C44" t="str">
        <f t="shared" si="0"/>
        <v>srun -n1 --cpus-per-task=64  ./dgemm_mkl.x 10000 10000 10000 &gt;&gt;$csvname</v>
      </c>
      <c r="J44">
        <v>0</v>
      </c>
      <c r="K44" t="str">
        <f t="shared" si="1"/>
        <v>srun -n1 --cpus-per-task=64  ./dgemm_mkl_optimized.x 10000 10000 10000 &gt;&gt;$csvname</v>
      </c>
      <c r="T44">
        <v>0</v>
      </c>
      <c r="U44" t="str">
        <f t="shared" si="2"/>
        <v>srun -n1 --cpus-per-task=64  ./dgemm_oblas.x 10000 10000 10000 &gt;&gt;$csvname</v>
      </c>
      <c r="AC44">
        <v>0</v>
      </c>
      <c r="AD44" t="str">
        <f t="shared" si="3"/>
        <v>srun -n1 --cpus-per-task=64  ./dgemm_oblas_optimized.x 10000 10000 10000 &gt;&gt;$csvname</v>
      </c>
    </row>
    <row r="45" spans="2:30" x14ac:dyDescent="0.25">
      <c r="B45">
        <v>10000</v>
      </c>
      <c r="C45" t="str">
        <f t="shared" si="0"/>
        <v>srun -n1 --cpus-per-task=64  ./dgemm_mkl.x 10000 10000 10000 &gt;&gt;$csvname</v>
      </c>
      <c r="J45">
        <v>0</v>
      </c>
      <c r="K45" t="str">
        <f t="shared" si="1"/>
        <v>srun -n1 --cpus-per-task=64  ./dgemm_mkl_optimized.x 10000 10000 10000 &gt;&gt;$csvname</v>
      </c>
      <c r="T45">
        <v>0</v>
      </c>
      <c r="U45" t="str">
        <f t="shared" si="2"/>
        <v>srun -n1 --cpus-per-task=64  ./dgemm_oblas.x 10000 10000 10000 &gt;&gt;$csvname</v>
      </c>
      <c r="AC45">
        <v>0</v>
      </c>
      <c r="AD45" t="str">
        <f t="shared" si="3"/>
        <v>srun -n1 --cpus-per-task=64  ./dgemm_oblas_optimized.x 10000 10000 10000 &gt;&gt;$csvname</v>
      </c>
    </row>
    <row r="46" spans="2:30" x14ac:dyDescent="0.25">
      <c r="B46">
        <v>11000</v>
      </c>
      <c r="C46" t="str">
        <f t="shared" si="0"/>
        <v>srun -n1 --cpus-per-task=64  ./dgemm_mkl.x 11000 11000 11000 &gt;&gt;$csvname</v>
      </c>
      <c r="J46">
        <v>0</v>
      </c>
      <c r="K46" t="str">
        <f t="shared" si="1"/>
        <v>srun -n1 --cpus-per-task=64  ./dgemm_mkl_optimized.x 11000 11000 11000 &gt;&gt;$csvname</v>
      </c>
      <c r="T46">
        <v>0</v>
      </c>
      <c r="U46" t="str">
        <f t="shared" si="2"/>
        <v>srun -n1 --cpus-per-task=64  ./dgemm_oblas.x 11000 11000 11000 &gt;&gt;$csvname</v>
      </c>
      <c r="AC46">
        <v>0</v>
      </c>
      <c r="AD46" t="str">
        <f t="shared" si="3"/>
        <v>srun -n1 --cpus-per-task=64  ./dgemm_oblas_optimized.x 11000 11000 11000 &gt;&gt;$csvname</v>
      </c>
    </row>
    <row r="47" spans="2:30" x14ac:dyDescent="0.25">
      <c r="B47">
        <v>11000</v>
      </c>
      <c r="C47" t="str">
        <f t="shared" si="0"/>
        <v>srun -n1 --cpus-per-task=64  ./dgemm_mkl.x 11000 11000 11000 &gt;&gt;$csvname</v>
      </c>
      <c r="J47">
        <v>0</v>
      </c>
      <c r="K47" t="str">
        <f t="shared" si="1"/>
        <v>srun -n1 --cpus-per-task=64  ./dgemm_mkl_optimized.x 11000 11000 11000 &gt;&gt;$csvname</v>
      </c>
      <c r="T47">
        <v>0</v>
      </c>
      <c r="U47" t="str">
        <f t="shared" si="2"/>
        <v>srun -n1 --cpus-per-task=64  ./dgemm_oblas.x 11000 11000 11000 &gt;&gt;$csvname</v>
      </c>
      <c r="AC47">
        <v>0</v>
      </c>
      <c r="AD47" t="str">
        <f t="shared" si="3"/>
        <v>srun -n1 --cpus-per-task=64  ./dgemm_oblas_optimized.x 11000 11000 11000 &gt;&gt;$csvname</v>
      </c>
    </row>
    <row r="48" spans="2:30" x14ac:dyDescent="0.25">
      <c r="B48">
        <v>11000</v>
      </c>
      <c r="C48" t="str">
        <f t="shared" si="0"/>
        <v>srun -n1 --cpus-per-task=64  ./dgemm_mkl.x 11000 11000 11000 &gt;&gt;$csvname</v>
      </c>
      <c r="J48">
        <v>0</v>
      </c>
      <c r="K48" t="str">
        <f t="shared" si="1"/>
        <v>srun -n1 --cpus-per-task=64  ./dgemm_mkl_optimized.x 11000 11000 11000 &gt;&gt;$csvname</v>
      </c>
      <c r="T48">
        <v>0</v>
      </c>
      <c r="U48" t="str">
        <f t="shared" si="2"/>
        <v>srun -n1 --cpus-per-task=64  ./dgemm_oblas.x 11000 11000 11000 &gt;&gt;$csvname</v>
      </c>
      <c r="AC48">
        <v>0</v>
      </c>
      <c r="AD48" t="str">
        <f t="shared" si="3"/>
        <v>srun -n1 --cpus-per-task=64  ./dgemm_oblas_optimized.x 11000 11000 11000 &gt;&gt;$csvname</v>
      </c>
    </row>
    <row r="49" spans="2:30" x14ac:dyDescent="0.25">
      <c r="B49">
        <v>11000</v>
      </c>
      <c r="C49" t="str">
        <f t="shared" si="0"/>
        <v>srun -n1 --cpus-per-task=64  ./dgemm_mkl.x 11000 11000 11000 &gt;&gt;$csvname</v>
      </c>
      <c r="J49">
        <v>0</v>
      </c>
      <c r="K49" t="str">
        <f t="shared" si="1"/>
        <v>srun -n1 --cpus-per-task=64  ./dgemm_mkl_optimized.x 11000 11000 11000 &gt;&gt;$csvname</v>
      </c>
      <c r="T49">
        <v>0</v>
      </c>
      <c r="U49" t="str">
        <f t="shared" si="2"/>
        <v>srun -n1 --cpus-per-task=64  ./dgemm_oblas.x 11000 11000 11000 &gt;&gt;$csvname</v>
      </c>
      <c r="AC49">
        <v>0</v>
      </c>
      <c r="AD49" t="str">
        <f t="shared" si="3"/>
        <v>srun -n1 --cpus-per-task=64  ./dgemm_oblas_optimized.x 11000 11000 11000 &gt;&gt;$csvname</v>
      </c>
    </row>
    <row r="50" spans="2:30" x14ac:dyDescent="0.25">
      <c r="B50">
        <v>12000</v>
      </c>
      <c r="C50" t="str">
        <f t="shared" si="0"/>
        <v>srun -n1 --cpus-per-task=64  ./dgemm_mkl.x 12000 12000 12000 &gt;&gt;$csvname</v>
      </c>
      <c r="J50">
        <v>0</v>
      </c>
      <c r="K50" t="str">
        <f t="shared" si="1"/>
        <v>srun -n1 --cpus-per-task=64  ./dgemm_mkl_optimized.x 12000 12000 12000 &gt;&gt;$csvname</v>
      </c>
      <c r="T50">
        <v>0</v>
      </c>
      <c r="U50" t="str">
        <f t="shared" si="2"/>
        <v>srun -n1 --cpus-per-task=64  ./dgemm_oblas.x 12000 12000 12000 &gt;&gt;$csvname</v>
      </c>
      <c r="AC50">
        <v>0</v>
      </c>
      <c r="AD50" t="str">
        <f t="shared" si="3"/>
        <v>srun -n1 --cpus-per-task=64  ./dgemm_oblas_optimized.x 12000 12000 12000 &gt;&gt;$csvname</v>
      </c>
    </row>
    <row r="51" spans="2:30" x14ac:dyDescent="0.25">
      <c r="B51">
        <v>12000</v>
      </c>
      <c r="C51" t="str">
        <f t="shared" si="0"/>
        <v>srun -n1 --cpus-per-task=64  ./dgemm_mkl.x 12000 12000 12000 &gt;&gt;$csvname</v>
      </c>
      <c r="J51">
        <v>0</v>
      </c>
      <c r="K51" t="str">
        <f t="shared" si="1"/>
        <v>srun -n1 --cpus-per-task=64  ./dgemm_mkl_optimized.x 12000 12000 12000 &gt;&gt;$csvname</v>
      </c>
      <c r="T51">
        <v>0</v>
      </c>
      <c r="U51" t="str">
        <f t="shared" si="2"/>
        <v>srun -n1 --cpus-per-task=64  ./dgemm_oblas.x 12000 12000 12000 &gt;&gt;$csvname</v>
      </c>
      <c r="AC51">
        <v>0</v>
      </c>
      <c r="AD51" t="str">
        <f t="shared" si="3"/>
        <v>srun -n1 --cpus-per-task=64  ./dgemm_oblas_optimized.x 12000 12000 12000 &gt;&gt;$csvname</v>
      </c>
    </row>
    <row r="52" spans="2:30" x14ac:dyDescent="0.25">
      <c r="B52">
        <v>12000</v>
      </c>
      <c r="C52" t="str">
        <f t="shared" si="0"/>
        <v>srun -n1 --cpus-per-task=64  ./dgemm_mkl.x 12000 12000 12000 &gt;&gt;$csvname</v>
      </c>
      <c r="J52">
        <v>0</v>
      </c>
      <c r="K52" t="str">
        <f t="shared" si="1"/>
        <v>srun -n1 --cpus-per-task=64  ./dgemm_mkl_optimized.x 12000 12000 12000 &gt;&gt;$csvname</v>
      </c>
      <c r="T52">
        <v>0</v>
      </c>
      <c r="U52" t="str">
        <f t="shared" si="2"/>
        <v>srun -n1 --cpus-per-task=64  ./dgemm_oblas.x 12000 12000 12000 &gt;&gt;$csvname</v>
      </c>
      <c r="AC52">
        <v>0</v>
      </c>
      <c r="AD52" t="str">
        <f t="shared" si="3"/>
        <v>srun -n1 --cpus-per-task=64  ./dgemm_oblas_optimized.x 12000 12000 12000 &gt;&gt;$csvname</v>
      </c>
    </row>
    <row r="53" spans="2:30" x14ac:dyDescent="0.25">
      <c r="B53">
        <v>12000</v>
      </c>
      <c r="C53" t="str">
        <f t="shared" si="0"/>
        <v>srun -n1 --cpus-per-task=64  ./dgemm_mkl.x 12000 12000 12000 &gt;&gt;$csvname</v>
      </c>
      <c r="J53">
        <v>0</v>
      </c>
      <c r="K53" t="str">
        <f t="shared" si="1"/>
        <v>srun -n1 --cpus-per-task=64  ./dgemm_mkl_optimized.x 12000 12000 12000 &gt;&gt;$csvname</v>
      </c>
      <c r="T53">
        <v>0</v>
      </c>
      <c r="U53" t="str">
        <f t="shared" si="2"/>
        <v>srun -n1 --cpus-per-task=64  ./dgemm_oblas.x 12000 12000 12000 &gt;&gt;$csvname</v>
      </c>
      <c r="AC53">
        <v>0</v>
      </c>
      <c r="AD53" t="str">
        <f t="shared" si="3"/>
        <v>srun -n1 --cpus-per-task=64  ./dgemm_oblas_optimized.x 12000 12000 12000 &gt;&gt;$csvname</v>
      </c>
    </row>
    <row r="54" spans="2:30" x14ac:dyDescent="0.25">
      <c r="B54">
        <v>13000</v>
      </c>
      <c r="C54" t="str">
        <f t="shared" si="0"/>
        <v>srun -n1 --cpus-per-task=64  ./dgemm_mkl.x 13000 13000 13000 &gt;&gt;$csvname</v>
      </c>
      <c r="J54">
        <v>0</v>
      </c>
      <c r="K54" t="str">
        <f t="shared" si="1"/>
        <v>srun -n1 --cpus-per-task=64  ./dgemm_mkl_optimized.x 13000 13000 13000 &gt;&gt;$csvname</v>
      </c>
      <c r="T54">
        <v>0</v>
      </c>
      <c r="U54" t="str">
        <f t="shared" si="2"/>
        <v>srun -n1 --cpus-per-task=64  ./dgemm_oblas.x 13000 13000 13000 &gt;&gt;$csvname</v>
      </c>
      <c r="AC54">
        <v>0</v>
      </c>
      <c r="AD54" t="str">
        <f t="shared" si="3"/>
        <v>srun -n1 --cpus-per-task=64  ./dgemm_oblas_optimized.x 13000 13000 13000 &gt;&gt;$csvname</v>
      </c>
    </row>
    <row r="55" spans="2:30" x14ac:dyDescent="0.25">
      <c r="B55">
        <v>13000</v>
      </c>
      <c r="C55" t="str">
        <f t="shared" si="0"/>
        <v>srun -n1 --cpus-per-task=64  ./dgemm_mkl.x 13000 13000 13000 &gt;&gt;$csvname</v>
      </c>
      <c r="J55">
        <v>0</v>
      </c>
      <c r="K55" t="str">
        <f t="shared" si="1"/>
        <v>srun -n1 --cpus-per-task=64  ./dgemm_mkl_optimized.x 13000 13000 13000 &gt;&gt;$csvname</v>
      </c>
      <c r="T55">
        <v>0</v>
      </c>
      <c r="U55" t="str">
        <f t="shared" si="2"/>
        <v>srun -n1 --cpus-per-task=64  ./dgemm_oblas.x 13000 13000 13000 &gt;&gt;$csvname</v>
      </c>
      <c r="AC55">
        <v>0</v>
      </c>
      <c r="AD55" t="str">
        <f t="shared" si="3"/>
        <v>srun -n1 --cpus-per-task=64  ./dgemm_oblas_optimized.x 13000 13000 13000 &gt;&gt;$csvname</v>
      </c>
    </row>
    <row r="56" spans="2:30" x14ac:dyDescent="0.25">
      <c r="B56">
        <v>13000</v>
      </c>
      <c r="C56" t="str">
        <f t="shared" si="0"/>
        <v>srun -n1 --cpus-per-task=64  ./dgemm_mkl.x 13000 13000 13000 &gt;&gt;$csvname</v>
      </c>
      <c r="J56">
        <v>0</v>
      </c>
      <c r="K56" t="str">
        <f t="shared" si="1"/>
        <v>srun -n1 --cpus-per-task=64  ./dgemm_mkl_optimized.x 13000 13000 13000 &gt;&gt;$csvname</v>
      </c>
      <c r="T56">
        <v>0</v>
      </c>
      <c r="U56" t="str">
        <f t="shared" si="2"/>
        <v>srun -n1 --cpus-per-task=64  ./dgemm_oblas.x 13000 13000 13000 &gt;&gt;$csvname</v>
      </c>
      <c r="AC56">
        <v>0</v>
      </c>
      <c r="AD56" t="str">
        <f t="shared" si="3"/>
        <v>srun -n1 --cpus-per-task=64  ./dgemm_oblas_optimized.x 13000 13000 13000 &gt;&gt;$csvname</v>
      </c>
    </row>
    <row r="57" spans="2:30" x14ac:dyDescent="0.25">
      <c r="B57">
        <v>13000</v>
      </c>
      <c r="C57" t="str">
        <f t="shared" si="0"/>
        <v>srun -n1 --cpus-per-task=64  ./dgemm_mkl.x 13000 13000 13000 &gt;&gt;$csvname</v>
      </c>
      <c r="J57">
        <v>0</v>
      </c>
      <c r="K57" t="str">
        <f t="shared" si="1"/>
        <v>srun -n1 --cpus-per-task=64  ./dgemm_mkl_optimized.x 13000 13000 13000 &gt;&gt;$csvname</v>
      </c>
      <c r="T57">
        <v>0</v>
      </c>
      <c r="U57" t="str">
        <f t="shared" si="2"/>
        <v>srun -n1 --cpus-per-task=64  ./dgemm_oblas.x 13000 13000 13000 &gt;&gt;$csvname</v>
      </c>
      <c r="AC57">
        <v>0</v>
      </c>
      <c r="AD57" t="str">
        <f t="shared" si="3"/>
        <v>srun -n1 --cpus-per-task=64  ./dgemm_oblas_optimized.x 13000 13000 13000 &gt;&gt;$csvname</v>
      </c>
    </row>
    <row r="58" spans="2:30" x14ac:dyDescent="0.25">
      <c r="B58">
        <v>14000</v>
      </c>
      <c r="C58" t="str">
        <f t="shared" si="0"/>
        <v>srun -n1 --cpus-per-task=64  ./dgemm_mkl.x 14000 14000 14000 &gt;&gt;$csvname</v>
      </c>
      <c r="J58">
        <v>0</v>
      </c>
      <c r="K58" t="str">
        <f t="shared" si="1"/>
        <v>srun -n1 --cpus-per-task=64  ./dgemm_mkl_optimized.x 14000 14000 14000 &gt;&gt;$csvname</v>
      </c>
      <c r="T58">
        <v>0</v>
      </c>
      <c r="U58" t="str">
        <f t="shared" si="2"/>
        <v>srun -n1 --cpus-per-task=64  ./dgemm_oblas.x 14000 14000 14000 &gt;&gt;$csvname</v>
      </c>
      <c r="AC58">
        <v>0</v>
      </c>
      <c r="AD58" t="str">
        <f t="shared" si="3"/>
        <v>srun -n1 --cpus-per-task=64  ./dgemm_oblas_optimized.x 14000 14000 14000 &gt;&gt;$csvname</v>
      </c>
    </row>
    <row r="59" spans="2:30" x14ac:dyDescent="0.25">
      <c r="B59">
        <v>14000</v>
      </c>
      <c r="C59" t="str">
        <f t="shared" si="0"/>
        <v>srun -n1 --cpus-per-task=64  ./dgemm_mkl.x 14000 14000 14000 &gt;&gt;$csvname</v>
      </c>
      <c r="J59">
        <v>0</v>
      </c>
      <c r="K59" t="str">
        <f t="shared" si="1"/>
        <v>srun -n1 --cpus-per-task=64  ./dgemm_mkl_optimized.x 14000 14000 14000 &gt;&gt;$csvname</v>
      </c>
      <c r="T59">
        <v>0</v>
      </c>
      <c r="U59" t="str">
        <f t="shared" si="2"/>
        <v>srun -n1 --cpus-per-task=64  ./dgemm_oblas.x 14000 14000 14000 &gt;&gt;$csvname</v>
      </c>
      <c r="AC59">
        <v>0</v>
      </c>
      <c r="AD59" t="str">
        <f t="shared" si="3"/>
        <v>srun -n1 --cpus-per-task=64  ./dgemm_oblas_optimized.x 14000 14000 14000 &gt;&gt;$csvname</v>
      </c>
    </row>
    <row r="60" spans="2:30" x14ac:dyDescent="0.25">
      <c r="B60">
        <v>14000</v>
      </c>
      <c r="C60" t="str">
        <f t="shared" si="0"/>
        <v>srun -n1 --cpus-per-task=64  ./dgemm_mkl.x 14000 14000 14000 &gt;&gt;$csvname</v>
      </c>
      <c r="J60">
        <v>0</v>
      </c>
      <c r="K60" t="str">
        <f t="shared" si="1"/>
        <v>srun -n1 --cpus-per-task=64  ./dgemm_mkl_optimized.x 14000 14000 14000 &gt;&gt;$csvname</v>
      </c>
      <c r="T60">
        <v>0</v>
      </c>
      <c r="U60" t="str">
        <f t="shared" si="2"/>
        <v>srun -n1 --cpus-per-task=64  ./dgemm_oblas.x 14000 14000 14000 &gt;&gt;$csvname</v>
      </c>
      <c r="AC60">
        <v>0</v>
      </c>
      <c r="AD60" t="str">
        <f t="shared" si="3"/>
        <v>srun -n1 --cpus-per-task=64  ./dgemm_oblas_optimized.x 14000 14000 14000 &gt;&gt;$csvname</v>
      </c>
    </row>
    <row r="61" spans="2:30" x14ac:dyDescent="0.25">
      <c r="B61">
        <v>14000</v>
      </c>
      <c r="C61" t="str">
        <f t="shared" si="0"/>
        <v>srun -n1 --cpus-per-task=64  ./dgemm_mkl.x 14000 14000 14000 &gt;&gt;$csvname</v>
      </c>
      <c r="J61">
        <v>0</v>
      </c>
      <c r="K61" t="str">
        <f t="shared" si="1"/>
        <v>srun -n1 --cpus-per-task=64  ./dgemm_mkl_optimized.x 14000 14000 14000 &gt;&gt;$csvname</v>
      </c>
      <c r="T61">
        <v>0</v>
      </c>
      <c r="U61" t="str">
        <f t="shared" si="2"/>
        <v>srun -n1 --cpus-per-task=64  ./dgemm_oblas.x 14000 14000 14000 &gt;&gt;$csvname</v>
      </c>
      <c r="AC61">
        <v>0</v>
      </c>
      <c r="AD61" t="str">
        <f t="shared" si="3"/>
        <v>srun -n1 --cpus-per-task=64  ./dgemm_oblas_optimized.x 14000 14000 14000 &gt;&gt;$csvname</v>
      </c>
    </row>
    <row r="62" spans="2:30" x14ac:dyDescent="0.25">
      <c r="B62">
        <v>15000</v>
      </c>
      <c r="C62" t="str">
        <f t="shared" si="0"/>
        <v>srun -n1 --cpus-per-task=64  ./dgemm_mkl.x 15000 15000 15000 &gt;&gt;$csvname</v>
      </c>
      <c r="J62">
        <v>0</v>
      </c>
      <c r="K62" t="str">
        <f t="shared" si="1"/>
        <v>srun -n1 --cpus-per-task=64  ./dgemm_mkl_optimized.x 15000 15000 15000 &gt;&gt;$csvname</v>
      </c>
      <c r="T62">
        <v>0</v>
      </c>
      <c r="U62" t="str">
        <f t="shared" si="2"/>
        <v>srun -n1 --cpus-per-task=64  ./dgemm_oblas.x 15000 15000 15000 &gt;&gt;$csvname</v>
      </c>
      <c r="AC62">
        <v>0</v>
      </c>
      <c r="AD62" t="str">
        <f t="shared" si="3"/>
        <v>srun -n1 --cpus-per-task=64  ./dgemm_oblas_optimized.x 15000 15000 15000 &gt;&gt;$csvname</v>
      </c>
    </row>
    <row r="63" spans="2:30" x14ac:dyDescent="0.25">
      <c r="B63">
        <v>15000</v>
      </c>
      <c r="C63" t="str">
        <f t="shared" si="0"/>
        <v>srun -n1 --cpus-per-task=64  ./dgemm_mkl.x 15000 15000 15000 &gt;&gt;$csvname</v>
      </c>
      <c r="J63">
        <v>0</v>
      </c>
      <c r="K63" t="str">
        <f t="shared" si="1"/>
        <v>srun -n1 --cpus-per-task=64  ./dgemm_mkl_optimized.x 15000 15000 15000 &gt;&gt;$csvname</v>
      </c>
      <c r="T63">
        <v>0</v>
      </c>
      <c r="U63" t="str">
        <f t="shared" si="2"/>
        <v>srun -n1 --cpus-per-task=64  ./dgemm_oblas.x 15000 15000 15000 &gt;&gt;$csvname</v>
      </c>
      <c r="AC63">
        <v>0</v>
      </c>
      <c r="AD63" t="str">
        <f t="shared" si="3"/>
        <v>srun -n1 --cpus-per-task=64  ./dgemm_oblas_optimized.x 15000 15000 15000 &gt;&gt;$csvname</v>
      </c>
    </row>
    <row r="64" spans="2:30" x14ac:dyDescent="0.25">
      <c r="B64">
        <v>15000</v>
      </c>
      <c r="C64" t="str">
        <f t="shared" si="0"/>
        <v>srun -n1 --cpus-per-task=64  ./dgemm_mkl.x 15000 15000 15000 &gt;&gt;$csvname</v>
      </c>
      <c r="J64">
        <v>0</v>
      </c>
      <c r="K64" t="str">
        <f t="shared" si="1"/>
        <v>srun -n1 --cpus-per-task=64  ./dgemm_mkl_optimized.x 15000 15000 15000 &gt;&gt;$csvname</v>
      </c>
      <c r="T64">
        <v>0</v>
      </c>
      <c r="U64" t="str">
        <f t="shared" si="2"/>
        <v>srun -n1 --cpus-per-task=64  ./dgemm_oblas.x 15000 15000 15000 &gt;&gt;$csvname</v>
      </c>
      <c r="AC64">
        <v>0</v>
      </c>
      <c r="AD64" t="str">
        <f t="shared" si="3"/>
        <v>srun -n1 --cpus-per-task=64  ./dgemm_oblas_optimized.x 15000 15000 15000 &gt;&gt;$csvname</v>
      </c>
    </row>
    <row r="65" spans="2:30" x14ac:dyDescent="0.25">
      <c r="B65">
        <v>15000</v>
      </c>
      <c r="C65" t="str">
        <f t="shared" si="0"/>
        <v>srun -n1 --cpus-per-task=64  ./dgemm_mkl.x 15000 15000 15000 &gt;&gt;$csvname</v>
      </c>
      <c r="J65">
        <v>0</v>
      </c>
      <c r="K65" t="str">
        <f t="shared" si="1"/>
        <v>srun -n1 --cpus-per-task=64  ./dgemm_mkl_optimized.x 15000 15000 15000 &gt;&gt;$csvname</v>
      </c>
      <c r="T65">
        <v>0</v>
      </c>
      <c r="U65" t="str">
        <f t="shared" si="2"/>
        <v>srun -n1 --cpus-per-task=64  ./dgemm_oblas.x 15000 15000 15000 &gt;&gt;$csvname</v>
      </c>
      <c r="AC65">
        <v>0</v>
      </c>
      <c r="AD65" t="str">
        <f t="shared" si="3"/>
        <v>srun -n1 --cpus-per-task=64  ./dgemm_oblas_optimized.x 15000 15000 15000 &gt;&gt;$csvname</v>
      </c>
    </row>
    <row r="66" spans="2:30" x14ac:dyDescent="0.25">
      <c r="B66">
        <v>16000</v>
      </c>
      <c r="C66" t="str">
        <f t="shared" si="0"/>
        <v>srun -n1 --cpus-per-task=64  ./dgemm_mkl.x 16000 16000 16000 &gt;&gt;$csvname</v>
      </c>
      <c r="J66">
        <v>0</v>
      </c>
      <c r="K66" t="str">
        <f t="shared" si="1"/>
        <v>srun -n1 --cpus-per-task=64  ./dgemm_mkl_optimized.x 16000 16000 16000 &gt;&gt;$csvname</v>
      </c>
      <c r="T66">
        <v>0</v>
      </c>
      <c r="U66" t="str">
        <f t="shared" si="2"/>
        <v>srun -n1 --cpus-per-task=64  ./dgemm_oblas.x 16000 16000 16000 &gt;&gt;$csvname</v>
      </c>
      <c r="AC66">
        <v>0</v>
      </c>
      <c r="AD66" t="str">
        <f t="shared" si="3"/>
        <v>srun -n1 --cpus-per-task=64  ./dgemm_oblas_optimized.x 16000 16000 16000 &gt;&gt;$csvname</v>
      </c>
    </row>
    <row r="67" spans="2:30" x14ac:dyDescent="0.25">
      <c r="B67">
        <v>16000</v>
      </c>
      <c r="C67" t="str">
        <f t="shared" si="0"/>
        <v>srun -n1 --cpus-per-task=64  ./dgemm_mkl.x 16000 16000 16000 &gt;&gt;$csvname</v>
      </c>
      <c r="J67">
        <v>0</v>
      </c>
      <c r="K67" t="str">
        <f t="shared" si="1"/>
        <v>srun -n1 --cpus-per-task=64  ./dgemm_mkl_optimized.x 16000 16000 16000 &gt;&gt;$csvname</v>
      </c>
      <c r="T67">
        <v>0</v>
      </c>
      <c r="U67" t="str">
        <f t="shared" si="2"/>
        <v>srun -n1 --cpus-per-task=64  ./dgemm_oblas.x 16000 16000 16000 &gt;&gt;$csvname</v>
      </c>
      <c r="AC67">
        <v>0</v>
      </c>
      <c r="AD67" t="str">
        <f t="shared" si="3"/>
        <v>srun -n1 --cpus-per-task=64  ./dgemm_oblas_optimized.x 16000 16000 16000 &gt;&gt;$csvname</v>
      </c>
    </row>
    <row r="68" spans="2:30" x14ac:dyDescent="0.25">
      <c r="B68">
        <v>16000</v>
      </c>
      <c r="C68" t="str">
        <f t="shared" si="0"/>
        <v>srun -n1 --cpus-per-task=64  ./dgemm_mkl.x 16000 16000 16000 &gt;&gt;$csvname</v>
      </c>
      <c r="J68">
        <v>0</v>
      </c>
      <c r="K68" t="str">
        <f t="shared" si="1"/>
        <v>srun -n1 --cpus-per-task=64  ./dgemm_mkl_optimized.x 16000 16000 16000 &gt;&gt;$csvname</v>
      </c>
      <c r="T68">
        <v>0</v>
      </c>
      <c r="U68" t="str">
        <f t="shared" si="2"/>
        <v>srun -n1 --cpus-per-task=64  ./dgemm_oblas.x 16000 16000 16000 &gt;&gt;$csvname</v>
      </c>
      <c r="AC68">
        <v>0</v>
      </c>
      <c r="AD68" t="str">
        <f t="shared" si="3"/>
        <v>srun -n1 --cpus-per-task=64  ./dgemm_oblas_optimized.x 16000 16000 16000 &gt;&gt;$csvname</v>
      </c>
    </row>
    <row r="69" spans="2:30" x14ac:dyDescent="0.25">
      <c r="B69">
        <v>16000</v>
      </c>
      <c r="C69" t="str">
        <f t="shared" si="0"/>
        <v>srun -n1 --cpus-per-task=64  ./dgemm_mkl.x 16000 16000 16000 &gt;&gt;$csvname</v>
      </c>
      <c r="J69">
        <v>0</v>
      </c>
      <c r="K69" t="str">
        <f t="shared" si="1"/>
        <v>srun -n1 --cpus-per-task=64  ./dgemm_mkl_optimized.x 16000 16000 16000 &gt;&gt;$csvname</v>
      </c>
      <c r="T69">
        <v>0</v>
      </c>
      <c r="U69" t="str">
        <f t="shared" si="2"/>
        <v>srun -n1 --cpus-per-task=64  ./dgemm_oblas.x 16000 16000 16000 &gt;&gt;$csvname</v>
      </c>
      <c r="AC69">
        <v>0</v>
      </c>
      <c r="AD69" t="str">
        <f t="shared" si="3"/>
        <v>srun -n1 --cpus-per-task=64  ./dgemm_oblas_optimized.x 16000 16000 16000 &gt;&gt;$csvname</v>
      </c>
    </row>
    <row r="70" spans="2:30" x14ac:dyDescent="0.25">
      <c r="B70">
        <v>17000</v>
      </c>
      <c r="C70" t="str">
        <f t="shared" si="0"/>
        <v>srun -n1 --cpus-per-task=64  ./dgemm_mkl.x 17000 17000 17000 &gt;&gt;$csvname</v>
      </c>
      <c r="J70">
        <v>0</v>
      </c>
      <c r="K70" t="str">
        <f t="shared" si="1"/>
        <v>srun -n1 --cpus-per-task=64  ./dgemm_mkl_optimized.x 17000 17000 17000 &gt;&gt;$csvname</v>
      </c>
      <c r="T70">
        <v>0</v>
      </c>
      <c r="U70" t="str">
        <f t="shared" si="2"/>
        <v>srun -n1 --cpus-per-task=64  ./dgemm_oblas.x 17000 17000 17000 &gt;&gt;$csvname</v>
      </c>
      <c r="AC70">
        <v>0</v>
      </c>
      <c r="AD70" t="str">
        <f t="shared" si="3"/>
        <v>srun -n1 --cpus-per-task=64  ./dgemm_oblas_optimized.x 17000 17000 17000 &gt;&gt;$csvname</v>
      </c>
    </row>
    <row r="71" spans="2:30" x14ac:dyDescent="0.25">
      <c r="B71">
        <v>17000</v>
      </c>
      <c r="C71" t="str">
        <f t="shared" si="0"/>
        <v>srun -n1 --cpus-per-task=64  ./dgemm_mkl.x 17000 17000 17000 &gt;&gt;$csvname</v>
      </c>
      <c r="J71">
        <v>0</v>
      </c>
      <c r="K71" t="str">
        <f t="shared" si="1"/>
        <v>srun -n1 --cpus-per-task=64  ./dgemm_mkl_optimized.x 17000 17000 17000 &gt;&gt;$csvname</v>
      </c>
      <c r="T71">
        <v>0</v>
      </c>
      <c r="U71" t="str">
        <f t="shared" si="2"/>
        <v>srun -n1 --cpus-per-task=64  ./dgemm_oblas.x 17000 17000 17000 &gt;&gt;$csvname</v>
      </c>
      <c r="AC71">
        <v>0</v>
      </c>
      <c r="AD71" t="str">
        <f t="shared" si="3"/>
        <v>srun -n1 --cpus-per-task=64  ./dgemm_oblas_optimized.x 17000 17000 17000 &gt;&gt;$csvname</v>
      </c>
    </row>
    <row r="72" spans="2:30" x14ac:dyDescent="0.25">
      <c r="B72">
        <v>17000</v>
      </c>
      <c r="C72" t="str">
        <f t="shared" si="0"/>
        <v>srun -n1 --cpus-per-task=64  ./dgemm_mkl.x 17000 17000 17000 &gt;&gt;$csvname</v>
      </c>
      <c r="J72">
        <v>0</v>
      </c>
      <c r="K72" t="str">
        <f t="shared" si="1"/>
        <v>srun -n1 --cpus-per-task=64  ./dgemm_mkl_optimized.x 17000 17000 17000 &gt;&gt;$csvname</v>
      </c>
      <c r="T72">
        <v>0</v>
      </c>
      <c r="U72" t="str">
        <f t="shared" si="2"/>
        <v>srun -n1 --cpus-per-task=64  ./dgemm_oblas.x 17000 17000 17000 &gt;&gt;$csvname</v>
      </c>
      <c r="AC72">
        <v>0</v>
      </c>
      <c r="AD72" t="str">
        <f t="shared" si="3"/>
        <v>srun -n1 --cpus-per-task=64  ./dgemm_oblas_optimized.x 17000 17000 17000 &gt;&gt;$csvname</v>
      </c>
    </row>
    <row r="73" spans="2:30" x14ac:dyDescent="0.25">
      <c r="B73">
        <v>17000</v>
      </c>
      <c r="C73" t="str">
        <f t="shared" si="0"/>
        <v>srun -n1 --cpus-per-task=64  ./dgemm_mkl.x 17000 17000 17000 &gt;&gt;$csvname</v>
      </c>
      <c r="J73">
        <v>0</v>
      </c>
      <c r="K73" t="str">
        <f t="shared" si="1"/>
        <v>srun -n1 --cpus-per-task=64  ./dgemm_mkl_optimized.x 17000 17000 17000 &gt;&gt;$csvname</v>
      </c>
      <c r="T73">
        <v>0</v>
      </c>
      <c r="U73" t="str">
        <f t="shared" si="2"/>
        <v>srun -n1 --cpus-per-task=64  ./dgemm_oblas.x 17000 17000 17000 &gt;&gt;$csvname</v>
      </c>
      <c r="AC73">
        <v>0</v>
      </c>
      <c r="AD73" t="str">
        <f t="shared" si="3"/>
        <v>srun -n1 --cpus-per-task=64  ./dgemm_oblas_optimized.x 17000 17000 17000 &gt;&gt;$csvname</v>
      </c>
    </row>
    <row r="74" spans="2:30" x14ac:dyDescent="0.25">
      <c r="B74">
        <v>18000</v>
      </c>
      <c r="C74" t="str">
        <f t="shared" si="0"/>
        <v>srun -n1 --cpus-per-task=64  ./dgemm_mkl.x 18000 18000 18000 &gt;&gt;$csvname</v>
      </c>
      <c r="J74">
        <v>0</v>
      </c>
      <c r="K74" t="str">
        <f t="shared" si="1"/>
        <v>srun -n1 --cpus-per-task=64  ./dgemm_mkl_optimized.x 18000 18000 18000 &gt;&gt;$csvname</v>
      </c>
      <c r="T74">
        <v>0</v>
      </c>
      <c r="U74" t="str">
        <f t="shared" si="2"/>
        <v>srun -n1 --cpus-per-task=64  ./dgemm_oblas.x 18000 18000 18000 &gt;&gt;$csvname</v>
      </c>
      <c r="AC74">
        <v>0</v>
      </c>
      <c r="AD74" t="str">
        <f t="shared" si="3"/>
        <v>srun -n1 --cpus-per-task=64  ./dgemm_oblas_optimized.x 18000 18000 18000 &gt;&gt;$csvname</v>
      </c>
    </row>
    <row r="75" spans="2:30" x14ac:dyDescent="0.25">
      <c r="B75">
        <v>18000</v>
      </c>
      <c r="C75" t="str">
        <f t="shared" ref="C75:C85" si="4">$A$5 &amp; "mkl.x " &amp; B75 &amp; " " &amp; B75 &amp; " " &amp; B75 &amp; " &gt;&gt;$csvname"</f>
        <v>srun -n1 --cpus-per-task=64  ./dgemm_mkl.x 18000 18000 18000 &gt;&gt;$csvname</v>
      </c>
      <c r="J75">
        <v>0</v>
      </c>
      <c r="K75" t="str">
        <f t="shared" ref="K75:K85" si="5">$A$5 &amp; "mkl_optimized.x " &amp; $B75 &amp; " " &amp; $B75 &amp; " " &amp; $B75 &amp; " &gt;&gt;$csvname"</f>
        <v>srun -n1 --cpus-per-task=64  ./dgemm_mkl_optimized.x 18000 18000 18000 &gt;&gt;$csvname</v>
      </c>
      <c r="T75">
        <v>0</v>
      </c>
      <c r="U75" t="str">
        <f t="shared" ref="U75:U85" si="6">$A$5 &amp; "oblas.x " &amp; $B75 &amp; " " &amp; $B75 &amp; " " &amp; $B75 &amp; " &gt;&gt;$csvname"</f>
        <v>srun -n1 --cpus-per-task=64  ./dgemm_oblas.x 18000 18000 18000 &gt;&gt;$csvname</v>
      </c>
      <c r="AC75">
        <v>0</v>
      </c>
      <c r="AD75" t="str">
        <f t="shared" ref="AD75:AD85" si="7">$A$5 &amp; "oblas_optimized.x " &amp; $B75 &amp; " " &amp; $B75 &amp; " " &amp; $B75 &amp; " &gt;&gt;$csvname"</f>
        <v>srun -n1 --cpus-per-task=64  ./dgemm_oblas_optimized.x 18000 18000 18000 &gt;&gt;$csvname</v>
      </c>
    </row>
    <row r="76" spans="2:30" x14ac:dyDescent="0.25">
      <c r="B76">
        <v>18000</v>
      </c>
      <c r="C76" t="str">
        <f t="shared" si="4"/>
        <v>srun -n1 --cpus-per-task=64  ./dgemm_mkl.x 18000 18000 18000 &gt;&gt;$csvname</v>
      </c>
      <c r="J76">
        <v>0</v>
      </c>
      <c r="K76" t="str">
        <f t="shared" si="5"/>
        <v>srun -n1 --cpus-per-task=64  ./dgemm_mkl_optimized.x 18000 18000 18000 &gt;&gt;$csvname</v>
      </c>
      <c r="T76">
        <v>0</v>
      </c>
      <c r="U76" t="str">
        <f t="shared" si="6"/>
        <v>srun -n1 --cpus-per-task=64  ./dgemm_oblas.x 18000 18000 18000 &gt;&gt;$csvname</v>
      </c>
      <c r="AC76">
        <v>0</v>
      </c>
      <c r="AD76" t="str">
        <f t="shared" si="7"/>
        <v>srun -n1 --cpus-per-task=64  ./dgemm_oblas_optimized.x 18000 18000 18000 &gt;&gt;$csvname</v>
      </c>
    </row>
    <row r="77" spans="2:30" x14ac:dyDescent="0.25">
      <c r="B77">
        <v>18000</v>
      </c>
      <c r="C77" t="str">
        <f t="shared" si="4"/>
        <v>srun -n1 --cpus-per-task=64  ./dgemm_mkl.x 18000 18000 18000 &gt;&gt;$csvname</v>
      </c>
      <c r="J77">
        <v>0</v>
      </c>
      <c r="K77" t="str">
        <f t="shared" si="5"/>
        <v>srun -n1 --cpus-per-task=64  ./dgemm_mkl_optimized.x 18000 18000 18000 &gt;&gt;$csvname</v>
      </c>
      <c r="T77">
        <v>0</v>
      </c>
      <c r="U77" t="str">
        <f t="shared" si="6"/>
        <v>srun -n1 --cpus-per-task=64  ./dgemm_oblas.x 18000 18000 18000 &gt;&gt;$csvname</v>
      </c>
      <c r="AC77">
        <v>0</v>
      </c>
      <c r="AD77" t="str">
        <f t="shared" si="7"/>
        <v>srun -n1 --cpus-per-task=64  ./dgemm_oblas_optimized.x 18000 18000 18000 &gt;&gt;$csvname</v>
      </c>
    </row>
    <row r="78" spans="2:30" x14ac:dyDescent="0.25">
      <c r="B78">
        <v>19000</v>
      </c>
      <c r="C78" t="str">
        <f t="shared" si="4"/>
        <v>srun -n1 --cpus-per-task=64  ./dgemm_mkl.x 19000 19000 19000 &gt;&gt;$csvname</v>
      </c>
      <c r="J78">
        <v>0</v>
      </c>
      <c r="K78" t="str">
        <f t="shared" si="5"/>
        <v>srun -n1 --cpus-per-task=64  ./dgemm_mkl_optimized.x 19000 19000 19000 &gt;&gt;$csvname</v>
      </c>
      <c r="T78">
        <v>0</v>
      </c>
      <c r="U78" t="str">
        <f t="shared" si="6"/>
        <v>srun -n1 --cpus-per-task=64  ./dgemm_oblas.x 19000 19000 19000 &gt;&gt;$csvname</v>
      </c>
      <c r="AC78">
        <v>0</v>
      </c>
      <c r="AD78" t="str">
        <f t="shared" si="7"/>
        <v>srun -n1 --cpus-per-task=64  ./dgemm_oblas_optimized.x 19000 19000 19000 &gt;&gt;$csvname</v>
      </c>
    </row>
    <row r="79" spans="2:30" x14ac:dyDescent="0.25">
      <c r="B79">
        <v>19000</v>
      </c>
      <c r="C79" t="str">
        <f t="shared" si="4"/>
        <v>srun -n1 --cpus-per-task=64  ./dgemm_mkl.x 19000 19000 19000 &gt;&gt;$csvname</v>
      </c>
      <c r="J79">
        <v>0</v>
      </c>
      <c r="K79" t="str">
        <f t="shared" si="5"/>
        <v>srun -n1 --cpus-per-task=64  ./dgemm_mkl_optimized.x 19000 19000 19000 &gt;&gt;$csvname</v>
      </c>
      <c r="T79">
        <v>0</v>
      </c>
      <c r="U79" t="str">
        <f t="shared" si="6"/>
        <v>srun -n1 --cpus-per-task=64  ./dgemm_oblas.x 19000 19000 19000 &gt;&gt;$csvname</v>
      </c>
      <c r="AC79">
        <v>0</v>
      </c>
      <c r="AD79" t="str">
        <f t="shared" si="7"/>
        <v>srun -n1 --cpus-per-task=64  ./dgemm_oblas_optimized.x 19000 19000 19000 &gt;&gt;$csvname</v>
      </c>
    </row>
    <row r="80" spans="2:30" x14ac:dyDescent="0.25">
      <c r="B80">
        <v>19000</v>
      </c>
      <c r="C80" t="str">
        <f t="shared" si="4"/>
        <v>srun -n1 --cpus-per-task=64  ./dgemm_mkl.x 19000 19000 19000 &gt;&gt;$csvname</v>
      </c>
      <c r="J80">
        <v>0</v>
      </c>
      <c r="K80" t="str">
        <f t="shared" si="5"/>
        <v>srun -n1 --cpus-per-task=64  ./dgemm_mkl_optimized.x 19000 19000 19000 &gt;&gt;$csvname</v>
      </c>
      <c r="T80">
        <v>0</v>
      </c>
      <c r="U80" t="str">
        <f t="shared" si="6"/>
        <v>srun -n1 --cpus-per-task=64  ./dgemm_oblas.x 19000 19000 19000 &gt;&gt;$csvname</v>
      </c>
      <c r="AC80">
        <v>0</v>
      </c>
      <c r="AD80" t="str">
        <f t="shared" si="7"/>
        <v>srun -n1 --cpus-per-task=64  ./dgemm_oblas_optimized.x 19000 19000 19000 &gt;&gt;$csvname</v>
      </c>
    </row>
    <row r="81" spans="2:30" x14ac:dyDescent="0.25">
      <c r="B81">
        <v>19000</v>
      </c>
      <c r="C81" t="str">
        <f t="shared" si="4"/>
        <v>srun -n1 --cpus-per-task=64  ./dgemm_mkl.x 19000 19000 19000 &gt;&gt;$csvname</v>
      </c>
      <c r="J81">
        <v>0</v>
      </c>
      <c r="K81" t="str">
        <f t="shared" si="5"/>
        <v>srun -n1 --cpus-per-task=64  ./dgemm_mkl_optimized.x 19000 19000 19000 &gt;&gt;$csvname</v>
      </c>
      <c r="T81">
        <v>0</v>
      </c>
      <c r="U81" t="str">
        <f t="shared" si="6"/>
        <v>srun -n1 --cpus-per-task=64  ./dgemm_oblas.x 19000 19000 19000 &gt;&gt;$csvname</v>
      </c>
      <c r="AC81">
        <v>0</v>
      </c>
      <c r="AD81" t="str">
        <f t="shared" si="7"/>
        <v>srun -n1 --cpus-per-task=64  ./dgemm_oblas_optimized.x 19000 19000 19000 &gt;&gt;$csvname</v>
      </c>
    </row>
    <row r="82" spans="2:30" x14ac:dyDescent="0.25">
      <c r="B82">
        <v>20000</v>
      </c>
      <c r="C82" t="str">
        <f t="shared" si="4"/>
        <v>srun -n1 --cpus-per-task=64  ./dgemm_mkl.x 20000 20000 20000 &gt;&gt;$csvname</v>
      </c>
      <c r="J82">
        <v>0</v>
      </c>
      <c r="K82" t="str">
        <f t="shared" si="5"/>
        <v>srun -n1 --cpus-per-task=64  ./dgemm_mkl_optimized.x 20000 20000 20000 &gt;&gt;$csvname</v>
      </c>
      <c r="T82">
        <v>0</v>
      </c>
      <c r="U82" t="str">
        <f t="shared" si="6"/>
        <v>srun -n1 --cpus-per-task=64  ./dgemm_oblas.x 20000 20000 20000 &gt;&gt;$csvname</v>
      </c>
      <c r="AC82">
        <v>0</v>
      </c>
      <c r="AD82" t="str">
        <f t="shared" si="7"/>
        <v>srun -n1 --cpus-per-task=64  ./dgemm_oblas_optimized.x 20000 20000 20000 &gt;&gt;$csvname</v>
      </c>
    </row>
    <row r="83" spans="2:30" x14ac:dyDescent="0.25">
      <c r="B83">
        <v>20000</v>
      </c>
      <c r="C83" t="str">
        <f t="shared" si="4"/>
        <v>srun -n1 --cpus-per-task=64  ./dgemm_mkl.x 20000 20000 20000 &gt;&gt;$csvname</v>
      </c>
      <c r="J83">
        <v>0</v>
      </c>
      <c r="K83" t="str">
        <f t="shared" si="5"/>
        <v>srun -n1 --cpus-per-task=64  ./dgemm_mkl_optimized.x 20000 20000 20000 &gt;&gt;$csvname</v>
      </c>
      <c r="T83">
        <v>0</v>
      </c>
      <c r="U83" t="str">
        <f t="shared" si="6"/>
        <v>srun -n1 --cpus-per-task=64  ./dgemm_oblas.x 20000 20000 20000 &gt;&gt;$csvname</v>
      </c>
      <c r="AC83">
        <v>0</v>
      </c>
      <c r="AD83" t="str">
        <f t="shared" si="7"/>
        <v>srun -n1 --cpus-per-task=64  ./dgemm_oblas_optimized.x 20000 20000 20000 &gt;&gt;$csvname</v>
      </c>
    </row>
    <row r="84" spans="2:30" x14ac:dyDescent="0.25">
      <c r="B84">
        <v>20000</v>
      </c>
      <c r="C84" t="str">
        <f t="shared" si="4"/>
        <v>srun -n1 --cpus-per-task=64  ./dgemm_mkl.x 20000 20000 20000 &gt;&gt;$csvname</v>
      </c>
      <c r="J84">
        <v>0</v>
      </c>
      <c r="K84" t="str">
        <f t="shared" si="5"/>
        <v>srun -n1 --cpus-per-task=64  ./dgemm_mkl_optimized.x 20000 20000 20000 &gt;&gt;$csvname</v>
      </c>
      <c r="T84">
        <v>0</v>
      </c>
      <c r="U84" t="str">
        <f t="shared" si="6"/>
        <v>srun -n1 --cpus-per-task=64  ./dgemm_oblas.x 20000 20000 20000 &gt;&gt;$csvname</v>
      </c>
      <c r="AC84">
        <v>0</v>
      </c>
      <c r="AD84" t="str">
        <f t="shared" si="7"/>
        <v>srun -n1 --cpus-per-task=64  ./dgemm_oblas_optimized.x 20000 20000 20000 &gt;&gt;$csvname</v>
      </c>
    </row>
    <row r="85" spans="2:30" x14ac:dyDescent="0.25">
      <c r="B85">
        <v>20000</v>
      </c>
      <c r="C85" t="str">
        <f t="shared" si="4"/>
        <v>srun -n1 --cpus-per-task=64  ./dgemm_mkl.x 20000 20000 20000 &gt;&gt;$csvname</v>
      </c>
      <c r="J85">
        <v>0</v>
      </c>
      <c r="K85" t="str">
        <f t="shared" si="5"/>
        <v>srun -n1 --cpus-per-task=64  ./dgemm_mkl_optimized.x 20000 20000 20000 &gt;&gt;$csvname</v>
      </c>
      <c r="T85">
        <v>0</v>
      </c>
      <c r="U85" t="str">
        <f t="shared" si="6"/>
        <v>srun -n1 --cpus-per-task=64  ./dgemm_oblas.x 20000 20000 20000 &gt;&gt;$csvname</v>
      </c>
      <c r="AC85">
        <v>0</v>
      </c>
      <c r="AD85" t="str">
        <f t="shared" si="7"/>
        <v>srun -n1 --cpus-per-task=64  ./dgemm_oblas_optimized.x 20000 20000 20000 &gt;&gt;$csvname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C80BE-CB5F-449C-B25E-A53D40DC65A1}">
  <dimension ref="A1:U41"/>
  <sheetViews>
    <sheetView tabSelected="1" workbookViewId="0">
      <selection activeCell="G1" sqref="G1"/>
    </sheetView>
  </sheetViews>
  <sheetFormatPr defaultRowHeight="15" x14ac:dyDescent="0.25"/>
  <cols>
    <col min="1" max="2" width="6" bestFit="1" customWidth="1"/>
    <col min="3" max="3" width="4" bestFit="1" customWidth="1"/>
    <col min="4" max="5" width="11.5703125" style="1" bestFit="1" customWidth="1"/>
    <col min="6" max="6" width="13.7109375" style="1" bestFit="1" customWidth="1"/>
    <col min="7" max="7" width="12.28515625" bestFit="1" customWidth="1"/>
  </cols>
  <sheetData>
    <row r="1" spans="1:21" s="2" customFormat="1" x14ac:dyDescent="0.25">
      <c r="A1" s="2" t="s">
        <v>0</v>
      </c>
      <c r="B1" s="2" t="s">
        <v>1</v>
      </c>
      <c r="C1" s="2" t="s">
        <v>2</v>
      </c>
      <c r="D1" s="3" t="s">
        <v>5</v>
      </c>
      <c r="E1" s="3" t="s">
        <v>6</v>
      </c>
      <c r="F1" s="3" t="s">
        <v>3</v>
      </c>
      <c r="G1" s="2" t="s">
        <v>4</v>
      </c>
    </row>
    <row r="2" spans="1:21" x14ac:dyDescent="0.25">
      <c r="A2">
        <v>2000</v>
      </c>
      <c r="B2">
        <v>2000</v>
      </c>
      <c r="C2">
        <v>200</v>
      </c>
      <c r="D2" s="1">
        <v>7.6675496999999995E-2</v>
      </c>
      <c r="E2" s="1">
        <v>7.6674999999999993E-2</v>
      </c>
      <c r="F2" s="1">
        <v>20.867162</v>
      </c>
      <c r="G2" s="1">
        <f>D2-E2</f>
        <v>4.9700000000207911E-7</v>
      </c>
      <c r="I2">
        <v>2000</v>
      </c>
      <c r="J2">
        <v>2000</v>
      </c>
      <c r="K2">
        <v>200</v>
      </c>
      <c r="L2">
        <v>8.3195737000000006E-2</v>
      </c>
      <c r="M2">
        <v>8.3196000000000006E-2</v>
      </c>
      <c r="N2">
        <v>19.231755</v>
      </c>
      <c r="P2">
        <v>2000</v>
      </c>
      <c r="Q2">
        <v>2000</v>
      </c>
      <c r="R2">
        <v>200</v>
      </c>
      <c r="S2">
        <v>8.4906112000000006E-2</v>
      </c>
      <c r="T2">
        <v>8.4905999999999995E-2</v>
      </c>
      <c r="U2">
        <v>18.844344</v>
      </c>
    </row>
    <row r="3" spans="1:21" x14ac:dyDescent="0.25">
      <c r="A3">
        <v>2000</v>
      </c>
      <c r="B3">
        <v>2000</v>
      </c>
      <c r="C3">
        <v>200</v>
      </c>
      <c r="D3" s="1">
        <v>5.7080222E-2</v>
      </c>
      <c r="E3" s="1">
        <v>5.7079999999999999E-2</v>
      </c>
      <c r="F3" s="1">
        <v>28.030725</v>
      </c>
      <c r="G3" s="1">
        <f t="shared" ref="G3:G41" si="0">D3-E3</f>
        <v>2.220000000011102E-7</v>
      </c>
      <c r="I3">
        <v>2000</v>
      </c>
      <c r="J3">
        <v>2000</v>
      </c>
      <c r="K3">
        <v>200</v>
      </c>
      <c r="L3">
        <v>8.5253577999999997E-2</v>
      </c>
      <c r="M3">
        <v>8.5253999999999996E-2</v>
      </c>
      <c r="N3">
        <v>18.767541000000001</v>
      </c>
      <c r="P3">
        <v>2000</v>
      </c>
      <c r="Q3">
        <v>2000</v>
      </c>
      <c r="R3">
        <v>200</v>
      </c>
      <c r="S3">
        <v>8.5135461999999995E-2</v>
      </c>
      <c r="T3">
        <v>8.5135000000000002E-2</v>
      </c>
      <c r="U3">
        <v>18.793579000000001</v>
      </c>
    </row>
    <row r="4" spans="1:21" x14ac:dyDescent="0.25">
      <c r="A4">
        <v>2000</v>
      </c>
      <c r="B4">
        <v>2000</v>
      </c>
      <c r="C4">
        <v>200</v>
      </c>
      <c r="D4" s="1">
        <v>5.6217977000000002E-2</v>
      </c>
      <c r="E4" s="1">
        <v>5.6217999999999997E-2</v>
      </c>
      <c r="F4" s="1">
        <v>28.460647000000002</v>
      </c>
      <c r="G4" s="1">
        <f t="shared" si="0"/>
        <v>-2.2999999994832709E-8</v>
      </c>
      <c r="I4">
        <v>2000</v>
      </c>
      <c r="J4">
        <v>2000</v>
      </c>
      <c r="K4">
        <v>200</v>
      </c>
      <c r="L4">
        <v>8.0283539000000001E-2</v>
      </c>
      <c r="M4">
        <v>8.0283999999999994E-2</v>
      </c>
      <c r="N4">
        <v>19.929366000000002</v>
      </c>
      <c r="P4">
        <v>2000</v>
      </c>
      <c r="Q4">
        <v>2000</v>
      </c>
      <c r="R4">
        <v>200</v>
      </c>
      <c r="S4">
        <v>8.5459718000000004E-2</v>
      </c>
      <c r="T4">
        <v>8.5459999999999994E-2</v>
      </c>
      <c r="U4">
        <v>18.722270999999999</v>
      </c>
    </row>
    <row r="5" spans="1:21" x14ac:dyDescent="0.25">
      <c r="A5">
        <v>2000</v>
      </c>
      <c r="B5">
        <v>2000</v>
      </c>
      <c r="C5">
        <v>200</v>
      </c>
      <c r="D5" s="1">
        <v>5.5953850999999999E-2</v>
      </c>
      <c r="E5" s="1">
        <v>5.5953999999999997E-2</v>
      </c>
      <c r="F5" s="1">
        <v>28.594992999999999</v>
      </c>
      <c r="G5" s="1">
        <f t="shared" si="0"/>
        <v>-1.4899999999790081E-7</v>
      </c>
      <c r="I5">
        <v>2000</v>
      </c>
      <c r="J5">
        <v>2000</v>
      </c>
      <c r="K5">
        <v>200</v>
      </c>
      <c r="L5">
        <v>8.5598954000000005E-2</v>
      </c>
      <c r="M5">
        <v>8.5598999999999995E-2</v>
      </c>
      <c r="N5">
        <v>18.691817</v>
      </c>
      <c r="P5">
        <v>2000</v>
      </c>
      <c r="Q5">
        <v>2000</v>
      </c>
      <c r="R5">
        <v>200</v>
      </c>
      <c r="S5">
        <v>8.1266614000000001E-2</v>
      </c>
      <c r="T5">
        <v>8.1267000000000006E-2</v>
      </c>
      <c r="U5">
        <v>19.688282000000001</v>
      </c>
    </row>
    <row r="6" spans="1:21" x14ac:dyDescent="0.25">
      <c r="A6">
        <v>2000</v>
      </c>
      <c r="B6">
        <v>2000</v>
      </c>
      <c r="C6">
        <v>200</v>
      </c>
      <c r="D6" s="1">
        <v>5.7005620999999999E-2</v>
      </c>
      <c r="E6" s="1">
        <v>5.7006000000000001E-2</v>
      </c>
      <c r="F6" s="1">
        <v>28.067408</v>
      </c>
      <c r="G6" s="1">
        <f t="shared" si="0"/>
        <v>-3.7900000000173906E-7</v>
      </c>
      <c r="I6">
        <v>2000</v>
      </c>
      <c r="J6">
        <v>2000</v>
      </c>
      <c r="K6">
        <v>200</v>
      </c>
      <c r="L6">
        <v>8.5371428999999999E-2</v>
      </c>
      <c r="M6">
        <v>8.5371000000000002E-2</v>
      </c>
      <c r="N6">
        <v>18.741633</v>
      </c>
      <c r="P6">
        <v>2000</v>
      </c>
      <c r="Q6">
        <v>2000</v>
      </c>
      <c r="R6">
        <v>200</v>
      </c>
      <c r="S6">
        <v>8.0609875999999997E-2</v>
      </c>
      <c r="T6">
        <v>8.0610000000000001E-2</v>
      </c>
      <c r="U6">
        <v>19.848685</v>
      </c>
    </row>
    <row r="7" spans="1:21" x14ac:dyDescent="0.25">
      <c r="A7">
        <v>2000</v>
      </c>
      <c r="B7">
        <v>2000</v>
      </c>
      <c r="C7">
        <v>200</v>
      </c>
      <c r="D7" s="1">
        <v>6.0353487999999997E-2</v>
      </c>
      <c r="E7" s="1">
        <v>6.0352999999999997E-2</v>
      </c>
      <c r="F7" s="1">
        <v>26.510480999999999</v>
      </c>
      <c r="G7" s="1">
        <f t="shared" si="0"/>
        <v>4.8799999999987742E-7</v>
      </c>
      <c r="I7">
        <v>2000</v>
      </c>
      <c r="J7">
        <v>2000</v>
      </c>
      <c r="K7">
        <v>200</v>
      </c>
      <c r="L7">
        <v>8.1122508999999995E-2</v>
      </c>
      <c r="M7">
        <v>8.1123000000000001E-2</v>
      </c>
      <c r="N7">
        <v>19.723255999999999</v>
      </c>
      <c r="P7">
        <v>2000</v>
      </c>
      <c r="Q7">
        <v>2000</v>
      </c>
      <c r="R7">
        <v>200</v>
      </c>
      <c r="S7">
        <v>8.0111393000000003E-2</v>
      </c>
      <c r="T7">
        <v>8.0111000000000002E-2</v>
      </c>
      <c r="U7">
        <v>19.972190000000001</v>
      </c>
    </row>
    <row r="8" spans="1:21" x14ac:dyDescent="0.25">
      <c r="A8">
        <v>2000</v>
      </c>
      <c r="B8">
        <v>2000</v>
      </c>
      <c r="C8">
        <v>200</v>
      </c>
      <c r="D8" s="1">
        <v>5.6578109000000001E-2</v>
      </c>
      <c r="E8" s="1">
        <v>5.6578000000000003E-2</v>
      </c>
      <c r="F8" s="1">
        <v>28.279489000000002</v>
      </c>
      <c r="G8" s="1">
        <f t="shared" si="0"/>
        <v>1.0899999999813836E-7</v>
      </c>
      <c r="I8">
        <v>2000</v>
      </c>
      <c r="J8">
        <v>2000</v>
      </c>
      <c r="K8">
        <v>200</v>
      </c>
      <c r="L8">
        <v>8.6285710000000002E-2</v>
      </c>
      <c r="M8">
        <v>8.6286000000000002E-2</v>
      </c>
      <c r="N8">
        <v>18.543047000000001</v>
      </c>
      <c r="P8">
        <v>2000</v>
      </c>
      <c r="Q8">
        <v>2000</v>
      </c>
      <c r="R8">
        <v>200</v>
      </c>
      <c r="S8">
        <v>8.0233500999999999E-2</v>
      </c>
      <c r="T8">
        <v>8.0234E-2</v>
      </c>
      <c r="U8">
        <v>19.941794999999999</v>
      </c>
    </row>
    <row r="9" spans="1:21" x14ac:dyDescent="0.25">
      <c r="A9">
        <v>2000</v>
      </c>
      <c r="B9">
        <v>2000</v>
      </c>
      <c r="C9">
        <v>200</v>
      </c>
      <c r="D9" s="1">
        <v>5.6784411999999999E-2</v>
      </c>
      <c r="E9" s="1">
        <v>5.6784000000000001E-2</v>
      </c>
      <c r="F9" s="1">
        <v>28.176746999999999</v>
      </c>
      <c r="G9" s="1">
        <f t="shared" si="0"/>
        <v>4.119999999982471E-7</v>
      </c>
      <c r="I9">
        <v>2000</v>
      </c>
      <c r="J9">
        <v>2000</v>
      </c>
      <c r="K9">
        <v>200</v>
      </c>
      <c r="L9">
        <v>7.9888371E-2</v>
      </c>
      <c r="M9">
        <v>7.9888000000000001E-2</v>
      </c>
      <c r="N9">
        <v>20.027946</v>
      </c>
      <c r="P9">
        <v>2000</v>
      </c>
      <c r="Q9">
        <v>2000</v>
      </c>
      <c r="R9">
        <v>200</v>
      </c>
      <c r="S9">
        <v>8.6008006999999997E-2</v>
      </c>
      <c r="T9">
        <v>8.6008000000000001E-2</v>
      </c>
      <c r="U9">
        <v>18.602919</v>
      </c>
    </row>
    <row r="10" spans="1:21" x14ac:dyDescent="0.25">
      <c r="A10">
        <v>2000</v>
      </c>
      <c r="B10">
        <v>2000</v>
      </c>
      <c r="C10">
        <v>200</v>
      </c>
      <c r="D10" s="1">
        <v>6.9249368000000006E-2</v>
      </c>
      <c r="E10" s="1">
        <v>6.9249000000000005E-2</v>
      </c>
      <c r="F10" s="1">
        <v>23.104904000000001</v>
      </c>
      <c r="G10" s="1">
        <f t="shared" si="0"/>
        <v>3.6800000000059008E-7</v>
      </c>
      <c r="I10">
        <v>2000</v>
      </c>
      <c r="J10">
        <v>2000</v>
      </c>
      <c r="K10">
        <v>200</v>
      </c>
      <c r="L10">
        <v>8.6245264000000002E-2</v>
      </c>
      <c r="M10">
        <v>8.6245000000000002E-2</v>
      </c>
      <c r="N10">
        <v>18.551742999999998</v>
      </c>
      <c r="P10">
        <v>2000</v>
      </c>
      <c r="Q10">
        <v>2000</v>
      </c>
      <c r="R10">
        <v>200</v>
      </c>
      <c r="S10">
        <v>7.960101E-2</v>
      </c>
      <c r="T10">
        <v>7.9601000000000005E-2</v>
      </c>
      <c r="U10">
        <v>20.100247</v>
      </c>
    </row>
    <row r="11" spans="1:21" x14ac:dyDescent="0.25">
      <c r="A11">
        <v>2000</v>
      </c>
      <c r="B11">
        <v>2000</v>
      </c>
      <c r="C11">
        <v>200</v>
      </c>
      <c r="D11" s="1">
        <v>5.7175930999999999E-2</v>
      </c>
      <c r="E11" s="1">
        <v>5.7175999999999998E-2</v>
      </c>
      <c r="F11" s="1">
        <v>27.983803000000002</v>
      </c>
      <c r="G11" s="1">
        <f t="shared" si="0"/>
        <v>-6.8999999998375916E-8</v>
      </c>
      <c r="I11">
        <v>2000</v>
      </c>
      <c r="J11">
        <v>2000</v>
      </c>
      <c r="K11">
        <v>200</v>
      </c>
      <c r="L11">
        <v>7.9655455E-2</v>
      </c>
      <c r="M11">
        <v>7.9655000000000004E-2</v>
      </c>
      <c r="N11">
        <v>20.086509</v>
      </c>
      <c r="P11">
        <v>2000</v>
      </c>
      <c r="Q11">
        <v>2000</v>
      </c>
      <c r="R11">
        <v>200</v>
      </c>
      <c r="S11">
        <v>8.2173620000000003E-2</v>
      </c>
      <c r="T11">
        <v>8.2173999999999997E-2</v>
      </c>
      <c r="U11">
        <v>19.470969</v>
      </c>
    </row>
    <row r="12" spans="1:21" x14ac:dyDescent="0.25">
      <c r="A12">
        <v>4000</v>
      </c>
      <c r="B12">
        <v>4000</v>
      </c>
      <c r="C12">
        <v>200</v>
      </c>
      <c r="D12" s="1">
        <v>9.2028941000000003E-2</v>
      </c>
      <c r="E12" s="1">
        <v>9.2029E-2</v>
      </c>
      <c r="F12" s="1">
        <v>69.543340999999998</v>
      </c>
      <c r="G12" s="1">
        <f t="shared" si="0"/>
        <v>-5.8999999996700581E-8</v>
      </c>
      <c r="I12">
        <v>4000</v>
      </c>
      <c r="J12">
        <v>4000</v>
      </c>
      <c r="K12">
        <v>200</v>
      </c>
      <c r="L12">
        <v>9.2763381000000006E-2</v>
      </c>
      <c r="M12">
        <v>9.2762999999999998E-2</v>
      </c>
      <c r="N12">
        <v>68.992742000000007</v>
      </c>
      <c r="P12">
        <v>4000</v>
      </c>
      <c r="Q12">
        <v>4000</v>
      </c>
      <c r="R12">
        <v>200</v>
      </c>
      <c r="S12">
        <v>9.5911772000000006E-2</v>
      </c>
      <c r="T12">
        <v>9.5911999999999997E-2</v>
      </c>
      <c r="U12">
        <v>66.727992</v>
      </c>
    </row>
    <row r="13" spans="1:21" x14ac:dyDescent="0.25">
      <c r="A13">
        <v>4000</v>
      </c>
      <c r="B13">
        <v>4000</v>
      </c>
      <c r="C13">
        <v>200</v>
      </c>
      <c r="D13" s="1">
        <v>9.2226002000000001E-2</v>
      </c>
      <c r="E13" s="1">
        <v>9.2226000000000002E-2</v>
      </c>
      <c r="F13" s="1">
        <v>69.394745999999998</v>
      </c>
      <c r="G13" s="1">
        <f t="shared" si="0"/>
        <v>1.9999999989472883E-9</v>
      </c>
      <c r="I13">
        <v>4000</v>
      </c>
      <c r="J13">
        <v>4000</v>
      </c>
      <c r="K13">
        <v>200</v>
      </c>
      <c r="L13">
        <v>9.3458650000000004E-2</v>
      </c>
      <c r="M13">
        <v>9.3459E-2</v>
      </c>
      <c r="N13">
        <v>68.479483000000002</v>
      </c>
      <c r="P13">
        <v>4000</v>
      </c>
      <c r="Q13">
        <v>4000</v>
      </c>
      <c r="R13">
        <v>200</v>
      </c>
      <c r="S13">
        <v>9.5332929999999996E-2</v>
      </c>
      <c r="T13">
        <v>9.5333000000000001E-2</v>
      </c>
      <c r="U13">
        <v>67.133150999999998</v>
      </c>
    </row>
    <row r="14" spans="1:21" x14ac:dyDescent="0.25">
      <c r="A14">
        <v>4000</v>
      </c>
      <c r="B14">
        <v>4000</v>
      </c>
      <c r="C14">
        <v>200</v>
      </c>
      <c r="D14" s="1">
        <v>9.4276598000000003E-2</v>
      </c>
      <c r="E14" s="1">
        <v>9.4277E-2</v>
      </c>
      <c r="F14" s="1">
        <v>67.885351999999997</v>
      </c>
      <c r="G14" s="1">
        <f t="shared" si="0"/>
        <v>-4.0199999999657177E-7</v>
      </c>
      <c r="I14">
        <v>4000</v>
      </c>
      <c r="J14">
        <v>4000</v>
      </c>
      <c r="K14">
        <v>200</v>
      </c>
      <c r="L14">
        <v>9.1402253000000003E-2</v>
      </c>
      <c r="M14">
        <v>9.1401999999999997E-2</v>
      </c>
      <c r="N14">
        <v>70.020156</v>
      </c>
      <c r="P14">
        <v>4000</v>
      </c>
      <c r="Q14">
        <v>4000</v>
      </c>
      <c r="R14">
        <v>200</v>
      </c>
      <c r="S14">
        <v>9.6740783999999996E-2</v>
      </c>
      <c r="T14">
        <v>9.6740999999999994E-2</v>
      </c>
      <c r="U14">
        <v>66.156172999999995</v>
      </c>
    </row>
    <row r="15" spans="1:21" x14ac:dyDescent="0.25">
      <c r="A15">
        <v>4000</v>
      </c>
      <c r="B15">
        <v>4000</v>
      </c>
      <c r="C15">
        <v>200</v>
      </c>
      <c r="D15" s="1">
        <v>0.10392446700000001</v>
      </c>
      <c r="E15" s="1">
        <v>0.103924</v>
      </c>
      <c r="F15" s="1">
        <v>61.583188</v>
      </c>
      <c r="G15" s="1">
        <f t="shared" si="0"/>
        <v>4.67000000003992E-7</v>
      </c>
      <c r="I15">
        <v>4000</v>
      </c>
      <c r="J15">
        <v>4000</v>
      </c>
      <c r="K15">
        <v>200</v>
      </c>
      <c r="L15">
        <v>9.2597849999999995E-2</v>
      </c>
      <c r="M15">
        <v>9.2598E-2</v>
      </c>
      <c r="N15">
        <v>69.116076000000007</v>
      </c>
      <c r="P15">
        <v>4000</v>
      </c>
      <c r="Q15">
        <v>4000</v>
      </c>
      <c r="R15">
        <v>200</v>
      </c>
      <c r="S15">
        <v>9.6524649000000004E-2</v>
      </c>
      <c r="T15">
        <v>9.6525E-2</v>
      </c>
      <c r="U15">
        <v>66.304306999999994</v>
      </c>
    </row>
    <row r="16" spans="1:21" x14ac:dyDescent="0.25">
      <c r="A16">
        <v>4000</v>
      </c>
      <c r="B16">
        <v>4000</v>
      </c>
      <c r="C16">
        <v>200</v>
      </c>
      <c r="D16" s="1">
        <v>9.4956083999999996E-2</v>
      </c>
      <c r="E16" s="1">
        <v>9.4955999999999999E-2</v>
      </c>
      <c r="F16" s="1">
        <v>67.399578000000005</v>
      </c>
      <c r="G16" s="1">
        <f t="shared" si="0"/>
        <v>8.3999999997419472E-8</v>
      </c>
      <c r="I16">
        <v>4000</v>
      </c>
      <c r="J16">
        <v>4000</v>
      </c>
      <c r="K16">
        <v>200</v>
      </c>
      <c r="L16">
        <v>9.5120360000000001E-2</v>
      </c>
      <c r="M16">
        <v>9.5119999999999996E-2</v>
      </c>
      <c r="N16">
        <v>67.283176999999995</v>
      </c>
      <c r="P16">
        <v>4000</v>
      </c>
      <c r="Q16">
        <v>4000</v>
      </c>
      <c r="R16">
        <v>200</v>
      </c>
      <c r="S16">
        <v>9.2549935999999999E-2</v>
      </c>
      <c r="T16">
        <v>9.2549999999999993E-2</v>
      </c>
      <c r="U16">
        <v>69.151858000000004</v>
      </c>
    </row>
    <row r="17" spans="1:21" x14ac:dyDescent="0.25">
      <c r="A17">
        <v>4000</v>
      </c>
      <c r="B17">
        <v>4000</v>
      </c>
      <c r="C17">
        <v>200</v>
      </c>
      <c r="D17" s="1">
        <v>9.4226092999999997E-2</v>
      </c>
      <c r="E17" s="1">
        <v>9.4226000000000004E-2</v>
      </c>
      <c r="F17" s="1">
        <v>67.921738000000005</v>
      </c>
      <c r="G17" s="1">
        <f t="shared" si="0"/>
        <v>9.299999999268227E-8</v>
      </c>
      <c r="I17">
        <v>4000</v>
      </c>
      <c r="J17">
        <v>4000</v>
      </c>
      <c r="K17">
        <v>200</v>
      </c>
      <c r="L17">
        <v>9.1877151000000004E-2</v>
      </c>
      <c r="M17">
        <v>9.1877E-2</v>
      </c>
      <c r="N17">
        <v>69.658232999999996</v>
      </c>
      <c r="P17">
        <v>4000</v>
      </c>
      <c r="Q17">
        <v>4000</v>
      </c>
      <c r="R17">
        <v>200</v>
      </c>
      <c r="S17">
        <v>9.3581761999999999E-2</v>
      </c>
      <c r="T17">
        <v>9.3581999999999999E-2</v>
      </c>
      <c r="U17">
        <v>68.389393999999996</v>
      </c>
    </row>
    <row r="18" spans="1:21" x14ac:dyDescent="0.25">
      <c r="A18">
        <v>4000</v>
      </c>
      <c r="B18">
        <v>4000</v>
      </c>
      <c r="C18">
        <v>200</v>
      </c>
      <c r="D18" s="1">
        <v>9.3878496000000006E-2</v>
      </c>
      <c r="E18" s="1">
        <v>9.3878000000000003E-2</v>
      </c>
      <c r="F18" s="1">
        <v>68.173226999999997</v>
      </c>
      <c r="G18" s="1">
        <f t="shared" si="0"/>
        <v>4.9600000000260547E-7</v>
      </c>
      <c r="I18">
        <v>4000</v>
      </c>
      <c r="J18">
        <v>4000</v>
      </c>
      <c r="K18">
        <v>200</v>
      </c>
      <c r="L18">
        <v>9.1768537999999997E-2</v>
      </c>
      <c r="M18">
        <v>9.1769000000000003E-2</v>
      </c>
      <c r="N18">
        <v>69.740677000000005</v>
      </c>
      <c r="P18">
        <v>4000</v>
      </c>
      <c r="Q18">
        <v>4000</v>
      </c>
      <c r="R18">
        <v>200</v>
      </c>
      <c r="S18">
        <v>9.2638570000000003E-2</v>
      </c>
      <c r="T18">
        <v>9.2638999999999999E-2</v>
      </c>
      <c r="U18">
        <v>69.085695000000001</v>
      </c>
    </row>
    <row r="19" spans="1:21" x14ac:dyDescent="0.25">
      <c r="A19">
        <v>4000</v>
      </c>
      <c r="B19">
        <v>4000</v>
      </c>
      <c r="C19">
        <v>200</v>
      </c>
      <c r="D19" s="1">
        <v>9.5555724999999994E-2</v>
      </c>
      <c r="E19" s="1">
        <v>9.5556000000000002E-2</v>
      </c>
      <c r="F19" s="1">
        <v>66.976624999999999</v>
      </c>
      <c r="G19" s="1">
        <f t="shared" si="0"/>
        <v>-2.7500000000790781E-7</v>
      </c>
      <c r="I19">
        <v>4000</v>
      </c>
      <c r="J19">
        <v>4000</v>
      </c>
      <c r="K19">
        <v>200</v>
      </c>
      <c r="L19">
        <v>9.421301E-2</v>
      </c>
      <c r="M19">
        <v>9.4213000000000005E-2</v>
      </c>
      <c r="N19">
        <v>67.931169999999995</v>
      </c>
      <c r="P19">
        <v>4000</v>
      </c>
      <c r="Q19">
        <v>4000</v>
      </c>
      <c r="R19">
        <v>200</v>
      </c>
      <c r="S19">
        <v>9.8678298999999997E-2</v>
      </c>
      <c r="T19">
        <v>9.8678000000000002E-2</v>
      </c>
      <c r="U19">
        <v>64.857219000000001</v>
      </c>
    </row>
    <row r="20" spans="1:21" x14ac:dyDescent="0.25">
      <c r="A20">
        <v>4000</v>
      </c>
      <c r="B20">
        <v>4000</v>
      </c>
      <c r="C20">
        <v>200</v>
      </c>
      <c r="D20" s="1">
        <v>9.3666052E-2</v>
      </c>
      <c r="E20" s="1">
        <v>9.3665999999999999E-2</v>
      </c>
      <c r="F20" s="1">
        <v>68.327850999999995</v>
      </c>
      <c r="G20" s="1">
        <f t="shared" si="0"/>
        <v>5.2000000000385072E-8</v>
      </c>
      <c r="I20">
        <v>4000</v>
      </c>
      <c r="J20">
        <v>4000</v>
      </c>
      <c r="K20">
        <v>200</v>
      </c>
      <c r="L20">
        <v>9.7944141999999998E-2</v>
      </c>
      <c r="M20">
        <v>9.7944000000000003E-2</v>
      </c>
      <c r="N20">
        <v>65.343367000000001</v>
      </c>
      <c r="P20">
        <v>4000</v>
      </c>
      <c r="Q20">
        <v>4000</v>
      </c>
      <c r="R20">
        <v>200</v>
      </c>
      <c r="S20">
        <v>9.4140929999999998E-2</v>
      </c>
      <c r="T20">
        <v>9.4141000000000002E-2</v>
      </c>
      <c r="U20">
        <v>67.983181999999999</v>
      </c>
    </row>
    <row r="21" spans="1:21" x14ac:dyDescent="0.25">
      <c r="A21">
        <v>4000</v>
      </c>
      <c r="B21">
        <v>4000</v>
      </c>
      <c r="C21">
        <v>200</v>
      </c>
      <c r="D21" s="1">
        <v>0.10411777</v>
      </c>
      <c r="E21" s="1">
        <v>0.104118</v>
      </c>
      <c r="F21" s="1">
        <v>61.468854</v>
      </c>
      <c r="G21" s="1">
        <f t="shared" si="0"/>
        <v>-2.3000000000383825E-7</v>
      </c>
      <c r="I21">
        <v>4000</v>
      </c>
      <c r="J21">
        <v>4000</v>
      </c>
      <c r="K21">
        <v>200</v>
      </c>
      <c r="L21">
        <v>9.7678013999999994E-2</v>
      </c>
      <c r="M21">
        <v>9.7678000000000001E-2</v>
      </c>
      <c r="N21">
        <v>65.521398000000005</v>
      </c>
      <c r="P21">
        <v>4000</v>
      </c>
      <c r="Q21">
        <v>4000</v>
      </c>
      <c r="R21">
        <v>200</v>
      </c>
      <c r="S21">
        <v>9.2469807000000001E-2</v>
      </c>
      <c r="T21">
        <v>9.2469999999999997E-2</v>
      </c>
      <c r="U21">
        <v>69.211781000000002</v>
      </c>
    </row>
    <row r="22" spans="1:21" x14ac:dyDescent="0.25">
      <c r="A22">
        <v>8000</v>
      </c>
      <c r="B22">
        <v>8000</v>
      </c>
      <c r="C22">
        <v>200</v>
      </c>
      <c r="D22" s="1">
        <v>0.16989834300000001</v>
      </c>
      <c r="E22" s="1">
        <v>0.16989799999999999</v>
      </c>
      <c r="F22" s="1">
        <v>150.678338</v>
      </c>
      <c r="G22" s="1">
        <f t="shared" si="0"/>
        <v>3.4300000001374897E-7</v>
      </c>
      <c r="I22">
        <v>8000</v>
      </c>
      <c r="J22">
        <v>8000</v>
      </c>
      <c r="K22">
        <v>200</v>
      </c>
      <c r="L22">
        <v>0.120691062</v>
      </c>
      <c r="M22">
        <v>0.12069100000000001</v>
      </c>
      <c r="N22">
        <v>212.11181300000001</v>
      </c>
      <c r="P22">
        <v>8000</v>
      </c>
      <c r="Q22">
        <v>8000</v>
      </c>
      <c r="R22">
        <v>200</v>
      </c>
      <c r="S22">
        <v>0.121129959</v>
      </c>
      <c r="T22">
        <v>0.12113</v>
      </c>
      <c r="U22">
        <v>211.34325699999999</v>
      </c>
    </row>
    <row r="23" spans="1:21" x14ac:dyDescent="0.25">
      <c r="A23">
        <v>8000</v>
      </c>
      <c r="B23">
        <v>8000</v>
      </c>
      <c r="C23">
        <v>200</v>
      </c>
      <c r="D23" s="1">
        <v>0.167292155</v>
      </c>
      <c r="E23" s="1">
        <v>0.167292</v>
      </c>
      <c r="F23" s="1">
        <v>153.02570499999999</v>
      </c>
      <c r="G23" s="1">
        <f t="shared" si="0"/>
        <v>1.5500000000168157E-7</v>
      </c>
      <c r="I23">
        <v>8000</v>
      </c>
      <c r="J23">
        <v>8000</v>
      </c>
      <c r="K23">
        <v>200</v>
      </c>
      <c r="L23">
        <v>0.11749536300000001</v>
      </c>
      <c r="M23">
        <v>0.117495</v>
      </c>
      <c r="N23">
        <v>217.88093900000001</v>
      </c>
      <c r="P23">
        <v>8000</v>
      </c>
      <c r="Q23">
        <v>8000</v>
      </c>
      <c r="R23">
        <v>200</v>
      </c>
      <c r="S23">
        <v>0.117603824</v>
      </c>
      <c r="T23">
        <v>0.117604</v>
      </c>
      <c r="U23">
        <v>217.67999699999999</v>
      </c>
    </row>
    <row r="24" spans="1:21" x14ac:dyDescent="0.25">
      <c r="A24">
        <v>8000</v>
      </c>
      <c r="B24">
        <v>8000</v>
      </c>
      <c r="C24">
        <v>200</v>
      </c>
      <c r="D24" s="1">
        <v>0.17061693999999999</v>
      </c>
      <c r="E24" s="1">
        <v>0.17061699999999999</v>
      </c>
      <c r="F24" s="1">
        <v>150.04371800000001</v>
      </c>
      <c r="G24" s="1">
        <f t="shared" si="0"/>
        <v>-5.9999999996174225E-8</v>
      </c>
      <c r="I24">
        <v>8000</v>
      </c>
      <c r="J24">
        <v>8000</v>
      </c>
      <c r="K24">
        <v>200</v>
      </c>
      <c r="L24">
        <v>0.118338809</v>
      </c>
      <c r="M24">
        <v>0.118339</v>
      </c>
      <c r="N24">
        <v>216.32801799999999</v>
      </c>
      <c r="P24">
        <v>8000</v>
      </c>
      <c r="Q24">
        <v>8000</v>
      </c>
      <c r="R24">
        <v>200</v>
      </c>
      <c r="S24">
        <v>0.123376499</v>
      </c>
      <c r="T24">
        <v>0.123376</v>
      </c>
      <c r="U24">
        <v>207.494946</v>
      </c>
    </row>
    <row r="25" spans="1:21" x14ac:dyDescent="0.25">
      <c r="A25">
        <v>8000</v>
      </c>
      <c r="B25">
        <v>8000</v>
      </c>
      <c r="C25">
        <v>200</v>
      </c>
      <c r="D25" s="1">
        <v>0.172001927</v>
      </c>
      <c r="E25" s="1">
        <v>0.17200199999999999</v>
      </c>
      <c r="F25" s="1">
        <v>148.835542</v>
      </c>
      <c r="G25" s="1">
        <f t="shared" si="0"/>
        <v>-7.2999999989331599E-8</v>
      </c>
      <c r="I25">
        <v>8000</v>
      </c>
      <c r="J25">
        <v>8000</v>
      </c>
      <c r="K25">
        <v>200</v>
      </c>
      <c r="L25">
        <v>0.11778166599999999</v>
      </c>
      <c r="M25">
        <v>0.117782</v>
      </c>
      <c r="N25">
        <v>217.351315</v>
      </c>
      <c r="P25">
        <v>8000</v>
      </c>
      <c r="Q25">
        <v>8000</v>
      </c>
      <c r="R25">
        <v>200</v>
      </c>
      <c r="S25">
        <v>0.12097057899999999</v>
      </c>
      <c r="T25">
        <v>0.120971</v>
      </c>
      <c r="U25">
        <v>211.621703</v>
      </c>
    </row>
    <row r="26" spans="1:21" x14ac:dyDescent="0.25">
      <c r="A26">
        <v>8000</v>
      </c>
      <c r="B26">
        <v>8000</v>
      </c>
      <c r="C26">
        <v>200</v>
      </c>
      <c r="D26" s="1">
        <v>0.171651319</v>
      </c>
      <c r="E26" s="1">
        <v>0.171651</v>
      </c>
      <c r="F26" s="1">
        <v>149.13954699999999</v>
      </c>
      <c r="G26" s="1">
        <f t="shared" si="0"/>
        <v>3.1899999999862594E-7</v>
      </c>
      <c r="I26">
        <v>8000</v>
      </c>
      <c r="J26">
        <v>8000</v>
      </c>
      <c r="K26">
        <v>200</v>
      </c>
      <c r="L26">
        <v>0.11798019899999999</v>
      </c>
      <c r="M26">
        <v>0.11798</v>
      </c>
      <c r="N26">
        <v>216.98556400000001</v>
      </c>
      <c r="P26">
        <v>8000</v>
      </c>
      <c r="Q26">
        <v>8000</v>
      </c>
      <c r="R26">
        <v>200</v>
      </c>
      <c r="S26">
        <v>0.12367012400000001</v>
      </c>
      <c r="T26">
        <v>0.12367</v>
      </c>
      <c r="U26">
        <v>207.00229899999999</v>
      </c>
    </row>
    <row r="27" spans="1:21" x14ac:dyDescent="0.25">
      <c r="A27">
        <v>8000</v>
      </c>
      <c r="B27">
        <v>8000</v>
      </c>
      <c r="C27">
        <v>200</v>
      </c>
      <c r="D27" s="1">
        <v>0.16826284699999999</v>
      </c>
      <c r="E27" s="1">
        <v>0.168263</v>
      </c>
      <c r="F27" s="1">
        <v>152.14291499999999</v>
      </c>
      <c r="G27" s="1">
        <f t="shared" si="0"/>
        <v>-1.5300000000273428E-7</v>
      </c>
      <c r="I27">
        <v>8000</v>
      </c>
      <c r="J27">
        <v>8000</v>
      </c>
      <c r="K27">
        <v>200</v>
      </c>
      <c r="L27">
        <v>0.118480536</v>
      </c>
      <c r="M27">
        <v>0.118481</v>
      </c>
      <c r="N27">
        <v>216.069245</v>
      </c>
      <c r="P27">
        <v>8000</v>
      </c>
      <c r="Q27">
        <v>8000</v>
      </c>
      <c r="R27">
        <v>200</v>
      </c>
      <c r="S27">
        <v>0.118565449</v>
      </c>
      <c r="T27">
        <v>0.118565</v>
      </c>
      <c r="U27">
        <v>215.914503</v>
      </c>
    </row>
    <row r="28" spans="1:21" x14ac:dyDescent="0.25">
      <c r="A28">
        <v>8000</v>
      </c>
      <c r="B28">
        <v>8000</v>
      </c>
      <c r="C28">
        <v>200</v>
      </c>
      <c r="D28" s="1">
        <v>0.17102766999999999</v>
      </c>
      <c r="E28" s="1">
        <v>0.17102800000000001</v>
      </c>
      <c r="F28" s="1">
        <v>149.68338199999999</v>
      </c>
      <c r="G28" s="1">
        <f t="shared" si="0"/>
        <v>-3.300000000205916E-7</v>
      </c>
      <c r="I28">
        <v>8000</v>
      </c>
      <c r="J28">
        <v>8000</v>
      </c>
      <c r="K28">
        <v>200</v>
      </c>
      <c r="L28">
        <v>0.11875345499999999</v>
      </c>
      <c r="M28">
        <v>0.118753</v>
      </c>
      <c r="N28">
        <v>215.572675</v>
      </c>
      <c r="P28">
        <v>8000</v>
      </c>
      <c r="Q28">
        <v>8000</v>
      </c>
      <c r="R28">
        <v>200</v>
      </c>
      <c r="S28">
        <v>0.122343548</v>
      </c>
      <c r="T28">
        <v>0.12234399999999999</v>
      </c>
      <c r="U28">
        <v>209.24683300000001</v>
      </c>
    </row>
    <row r="29" spans="1:21" x14ac:dyDescent="0.25">
      <c r="A29">
        <v>8000</v>
      </c>
      <c r="B29">
        <v>8000</v>
      </c>
      <c r="C29">
        <v>200</v>
      </c>
      <c r="D29" s="1">
        <v>0.17501008800000001</v>
      </c>
      <c r="E29" s="1">
        <v>0.17501</v>
      </c>
      <c r="F29" s="1">
        <v>146.27728200000001</v>
      </c>
      <c r="G29" s="1">
        <f t="shared" si="0"/>
        <v>8.8000000009191837E-8</v>
      </c>
      <c r="I29">
        <v>8000</v>
      </c>
      <c r="J29">
        <v>8000</v>
      </c>
      <c r="K29">
        <v>200</v>
      </c>
      <c r="L29">
        <v>0.118271353</v>
      </c>
      <c r="M29">
        <v>0.118271</v>
      </c>
      <c r="N29">
        <v>216.451401</v>
      </c>
      <c r="P29">
        <v>8000</v>
      </c>
      <c r="Q29">
        <v>8000</v>
      </c>
      <c r="R29">
        <v>200</v>
      </c>
      <c r="S29">
        <v>0.119079041</v>
      </c>
      <c r="T29">
        <v>0.119079</v>
      </c>
      <c r="U29">
        <v>214.98325600000001</v>
      </c>
    </row>
    <row r="30" spans="1:21" x14ac:dyDescent="0.25">
      <c r="A30">
        <v>8000</v>
      </c>
      <c r="B30">
        <v>8000</v>
      </c>
      <c r="C30">
        <v>200</v>
      </c>
      <c r="D30" s="1">
        <v>0.174663596</v>
      </c>
      <c r="E30" s="1">
        <v>0.17466400000000001</v>
      </c>
      <c r="F30" s="1">
        <v>146.56746200000001</v>
      </c>
      <c r="G30" s="1">
        <f t="shared" si="0"/>
        <v>-4.0400000000939684E-7</v>
      </c>
      <c r="I30">
        <v>8000</v>
      </c>
      <c r="J30">
        <v>8000</v>
      </c>
      <c r="K30">
        <v>200</v>
      </c>
      <c r="L30">
        <v>0.11874936</v>
      </c>
      <c r="M30">
        <v>0.11874899999999999</v>
      </c>
      <c r="N30">
        <v>215.58010899999999</v>
      </c>
      <c r="P30">
        <v>8000</v>
      </c>
      <c r="Q30">
        <v>8000</v>
      </c>
      <c r="R30">
        <v>200</v>
      </c>
      <c r="S30">
        <v>0.120068904</v>
      </c>
      <c r="T30">
        <v>0.120069</v>
      </c>
      <c r="U30">
        <v>213.21090799999999</v>
      </c>
    </row>
    <row r="31" spans="1:21" x14ac:dyDescent="0.25">
      <c r="A31">
        <v>8000</v>
      </c>
      <c r="B31">
        <v>8000</v>
      </c>
      <c r="C31">
        <v>200</v>
      </c>
      <c r="D31" s="1">
        <v>0.17153362</v>
      </c>
      <c r="E31" s="1">
        <v>0.17153399999999999</v>
      </c>
      <c r="F31" s="1">
        <v>149.24188000000001</v>
      </c>
      <c r="G31" s="1">
        <f t="shared" si="0"/>
        <v>-3.7999999999427381E-7</v>
      </c>
      <c r="I31">
        <v>8000</v>
      </c>
      <c r="J31">
        <v>8000</v>
      </c>
      <c r="K31">
        <v>200</v>
      </c>
      <c r="L31">
        <v>0.119275934</v>
      </c>
      <c r="M31">
        <v>0.11927599999999999</v>
      </c>
      <c r="N31">
        <v>214.628376</v>
      </c>
      <c r="P31">
        <v>8000</v>
      </c>
      <c r="Q31">
        <v>8000</v>
      </c>
      <c r="R31">
        <v>200</v>
      </c>
      <c r="S31">
        <v>0.117847218</v>
      </c>
      <c r="T31">
        <v>0.11784699999999999</v>
      </c>
      <c r="U31">
        <v>217.230414</v>
      </c>
    </row>
    <row r="32" spans="1:21" x14ac:dyDescent="0.25">
      <c r="A32">
        <v>20000</v>
      </c>
      <c r="B32">
        <v>20000</v>
      </c>
      <c r="C32">
        <v>200</v>
      </c>
      <c r="D32" s="1">
        <v>0.47660337000000003</v>
      </c>
      <c r="E32" s="1">
        <v>0.476603</v>
      </c>
      <c r="F32" s="1">
        <v>335.70891499999999</v>
      </c>
      <c r="G32" s="1">
        <f t="shared" si="0"/>
        <v>3.7000000002729294E-7</v>
      </c>
      <c r="I32">
        <v>20000</v>
      </c>
      <c r="J32">
        <v>20000</v>
      </c>
      <c r="K32">
        <v>200</v>
      </c>
      <c r="L32">
        <v>0.25374278099999997</v>
      </c>
      <c r="M32">
        <v>0.253743</v>
      </c>
      <c r="N32">
        <v>630.55981099999997</v>
      </c>
      <c r="P32">
        <v>20000</v>
      </c>
      <c r="Q32">
        <v>20000</v>
      </c>
      <c r="R32">
        <v>200</v>
      </c>
      <c r="S32">
        <v>0.26420958100000003</v>
      </c>
      <c r="T32">
        <v>0.26421</v>
      </c>
      <c r="U32">
        <v>605.57985599999995</v>
      </c>
    </row>
    <row r="33" spans="1:21" x14ac:dyDescent="0.25">
      <c r="A33">
        <v>20000</v>
      </c>
      <c r="B33">
        <v>20000</v>
      </c>
      <c r="C33">
        <v>200</v>
      </c>
      <c r="D33" s="1">
        <v>0.46860347000000002</v>
      </c>
      <c r="E33" s="1">
        <v>0.46860299999999999</v>
      </c>
      <c r="F33" s="1">
        <v>341.440067</v>
      </c>
      <c r="G33" s="1">
        <f t="shared" si="0"/>
        <v>4.7000000003016851E-7</v>
      </c>
      <c r="I33">
        <v>20000</v>
      </c>
      <c r="J33">
        <v>20000</v>
      </c>
      <c r="K33">
        <v>200</v>
      </c>
      <c r="L33">
        <v>0.25330692599999999</v>
      </c>
      <c r="M33">
        <v>0.253307</v>
      </c>
      <c r="N33">
        <v>631.64478999999994</v>
      </c>
      <c r="P33">
        <v>20000</v>
      </c>
      <c r="Q33">
        <v>20000</v>
      </c>
      <c r="R33">
        <v>200</v>
      </c>
      <c r="S33">
        <v>0.25073995399999999</v>
      </c>
      <c r="T33">
        <v>0.25074000000000002</v>
      </c>
      <c r="U33">
        <v>638.11130800000001</v>
      </c>
    </row>
    <row r="34" spans="1:21" x14ac:dyDescent="0.25">
      <c r="A34">
        <v>20000</v>
      </c>
      <c r="B34">
        <v>20000</v>
      </c>
      <c r="C34">
        <v>200</v>
      </c>
      <c r="D34" s="1">
        <v>0.48518307799999999</v>
      </c>
      <c r="E34" s="1">
        <v>0.48518299999999998</v>
      </c>
      <c r="F34" s="1">
        <v>329.772425</v>
      </c>
      <c r="G34" s="1">
        <f t="shared" si="0"/>
        <v>7.8000000014455395E-8</v>
      </c>
      <c r="I34">
        <v>20000</v>
      </c>
      <c r="J34">
        <v>20000</v>
      </c>
      <c r="K34">
        <v>200</v>
      </c>
      <c r="L34">
        <v>0.25696831599999997</v>
      </c>
      <c r="M34">
        <v>0.25696799999999997</v>
      </c>
      <c r="N34">
        <v>622.644856</v>
      </c>
      <c r="P34">
        <v>20000</v>
      </c>
      <c r="Q34">
        <v>20000</v>
      </c>
      <c r="R34">
        <v>200</v>
      </c>
      <c r="S34">
        <v>0.249807798</v>
      </c>
      <c r="T34">
        <v>0.249808</v>
      </c>
      <c r="U34">
        <v>640.49241600000005</v>
      </c>
    </row>
    <row r="35" spans="1:21" x14ac:dyDescent="0.25">
      <c r="A35">
        <v>20000</v>
      </c>
      <c r="B35">
        <v>20000</v>
      </c>
      <c r="C35">
        <v>200</v>
      </c>
      <c r="D35" s="1">
        <v>0.47585402500000001</v>
      </c>
      <c r="E35" s="1">
        <v>0.475854</v>
      </c>
      <c r="F35" s="1">
        <v>336.23756800000001</v>
      </c>
      <c r="G35" s="1">
        <f t="shared" si="0"/>
        <v>2.5000000014596679E-8</v>
      </c>
      <c r="I35">
        <v>20000</v>
      </c>
      <c r="J35">
        <v>20000</v>
      </c>
      <c r="K35">
        <v>200</v>
      </c>
      <c r="L35">
        <v>0.266046899</v>
      </c>
      <c r="M35">
        <v>0.26604699999999998</v>
      </c>
      <c r="N35">
        <v>601.39772600000003</v>
      </c>
      <c r="P35">
        <v>20000</v>
      </c>
      <c r="Q35">
        <v>20000</v>
      </c>
      <c r="R35">
        <v>200</v>
      </c>
      <c r="S35">
        <v>0.25437690899999998</v>
      </c>
      <c r="T35">
        <v>0.25437700000000002</v>
      </c>
      <c r="U35">
        <v>628.98790899999995</v>
      </c>
    </row>
    <row r="36" spans="1:21" x14ac:dyDescent="0.25">
      <c r="A36">
        <v>20000</v>
      </c>
      <c r="B36">
        <v>20000</v>
      </c>
      <c r="C36">
        <v>200</v>
      </c>
      <c r="D36" s="1">
        <v>0.47360355599999998</v>
      </c>
      <c r="E36" s="1">
        <v>0.47360400000000002</v>
      </c>
      <c r="F36" s="1">
        <v>337.83530100000002</v>
      </c>
      <c r="G36" s="1">
        <f t="shared" si="0"/>
        <v>-4.4400000004385376E-7</v>
      </c>
      <c r="I36">
        <v>20000</v>
      </c>
      <c r="J36">
        <v>20000</v>
      </c>
      <c r="K36">
        <v>200</v>
      </c>
      <c r="L36">
        <v>0.25057876000000001</v>
      </c>
      <c r="M36">
        <v>0.250579</v>
      </c>
      <c r="N36">
        <v>638.52179699999999</v>
      </c>
      <c r="P36">
        <v>20000</v>
      </c>
      <c r="Q36">
        <v>20000</v>
      </c>
      <c r="R36">
        <v>200</v>
      </c>
      <c r="S36">
        <v>0.25050121800000003</v>
      </c>
      <c r="T36">
        <v>0.25050099999999997</v>
      </c>
      <c r="U36">
        <v>638.71944900000005</v>
      </c>
    </row>
    <row r="37" spans="1:21" x14ac:dyDescent="0.25">
      <c r="A37">
        <v>20000</v>
      </c>
      <c r="B37">
        <v>20000</v>
      </c>
      <c r="C37">
        <v>200</v>
      </c>
      <c r="D37" s="1">
        <v>0.463093798</v>
      </c>
      <c r="E37" s="1">
        <v>0.46309400000000001</v>
      </c>
      <c r="F37" s="1">
        <v>345.50236000000001</v>
      </c>
      <c r="G37" s="1">
        <f t="shared" si="0"/>
        <v>-2.0200000000469842E-7</v>
      </c>
      <c r="I37">
        <v>20000</v>
      </c>
      <c r="J37">
        <v>20000</v>
      </c>
      <c r="K37">
        <v>200</v>
      </c>
      <c r="L37">
        <v>0.25829734199999999</v>
      </c>
      <c r="M37">
        <v>0.258297</v>
      </c>
      <c r="N37">
        <v>619.44114000000002</v>
      </c>
      <c r="P37">
        <v>20000</v>
      </c>
      <c r="Q37">
        <v>20000</v>
      </c>
      <c r="R37">
        <v>200</v>
      </c>
      <c r="S37">
        <v>0.259661327</v>
      </c>
      <c r="T37">
        <v>0.25966099999999998</v>
      </c>
      <c r="U37">
        <v>616.18725400000005</v>
      </c>
    </row>
    <row r="38" spans="1:21" x14ac:dyDescent="0.25">
      <c r="A38">
        <v>20000</v>
      </c>
      <c r="B38">
        <v>20000</v>
      </c>
      <c r="C38">
        <v>200</v>
      </c>
      <c r="D38" s="1">
        <v>0.45218849999999999</v>
      </c>
      <c r="E38" s="1">
        <v>0.45218799999999998</v>
      </c>
      <c r="F38" s="1">
        <v>353.83473900000001</v>
      </c>
      <c r="G38" s="1">
        <f t="shared" si="0"/>
        <v>5.0000000001437783E-7</v>
      </c>
      <c r="I38">
        <v>20000</v>
      </c>
      <c r="J38">
        <v>20000</v>
      </c>
      <c r="K38">
        <v>200</v>
      </c>
      <c r="L38">
        <v>0.23061736099999999</v>
      </c>
      <c r="M38">
        <v>0.23061699999999999</v>
      </c>
      <c r="N38">
        <v>693.78991799999994</v>
      </c>
      <c r="P38">
        <v>20000</v>
      </c>
      <c r="Q38">
        <v>20000</v>
      </c>
      <c r="R38">
        <v>200</v>
      </c>
      <c r="S38">
        <v>0.25175850999999999</v>
      </c>
      <c r="T38">
        <v>0.25175900000000001</v>
      </c>
      <c r="U38">
        <v>635.52965900000004</v>
      </c>
    </row>
    <row r="39" spans="1:21" x14ac:dyDescent="0.25">
      <c r="A39">
        <v>20000</v>
      </c>
      <c r="B39">
        <v>20000</v>
      </c>
      <c r="C39">
        <v>200</v>
      </c>
      <c r="D39" s="1">
        <v>0.460908922</v>
      </c>
      <c r="E39" s="1">
        <v>0.46090900000000001</v>
      </c>
      <c r="F39" s="1">
        <v>347.14016700000002</v>
      </c>
      <c r="G39" s="1">
        <f t="shared" si="0"/>
        <v>-7.8000000014455395E-8</v>
      </c>
      <c r="I39">
        <v>20000</v>
      </c>
      <c r="J39">
        <v>20000</v>
      </c>
      <c r="K39">
        <v>200</v>
      </c>
      <c r="L39">
        <v>0.247228964</v>
      </c>
      <c r="M39">
        <v>0.247229</v>
      </c>
      <c r="N39">
        <v>647.17336299999999</v>
      </c>
      <c r="P39">
        <v>20000</v>
      </c>
      <c r="Q39">
        <v>20000</v>
      </c>
      <c r="R39">
        <v>200</v>
      </c>
      <c r="S39">
        <v>0.300090044</v>
      </c>
      <c r="T39">
        <v>0.30009000000000002</v>
      </c>
      <c r="U39">
        <v>533.17330300000003</v>
      </c>
    </row>
    <row r="40" spans="1:21" x14ac:dyDescent="0.25">
      <c r="A40">
        <v>20000</v>
      </c>
      <c r="B40">
        <v>20000</v>
      </c>
      <c r="C40">
        <v>200</v>
      </c>
      <c r="D40" s="1">
        <v>0.46642243999999999</v>
      </c>
      <c r="E40" s="1">
        <v>0.466422</v>
      </c>
      <c r="F40" s="1">
        <v>343.03666900000002</v>
      </c>
      <c r="G40" s="1">
        <f t="shared" si="0"/>
        <v>4.3999999999044803E-7</v>
      </c>
      <c r="I40">
        <v>20000</v>
      </c>
      <c r="J40">
        <v>20000</v>
      </c>
      <c r="K40">
        <v>200</v>
      </c>
      <c r="L40">
        <v>0.23292075400000001</v>
      </c>
      <c r="M40">
        <v>0.23292099999999999</v>
      </c>
      <c r="N40">
        <v>686.92891099999997</v>
      </c>
      <c r="P40">
        <v>20000</v>
      </c>
      <c r="Q40">
        <v>20000</v>
      </c>
      <c r="R40">
        <v>200</v>
      </c>
      <c r="S40">
        <v>0.249108363</v>
      </c>
      <c r="T40">
        <v>0.249108</v>
      </c>
      <c r="U40">
        <v>642.29076099999997</v>
      </c>
    </row>
    <row r="41" spans="1:21" x14ac:dyDescent="0.25">
      <c r="A41">
        <v>20000</v>
      </c>
      <c r="B41">
        <v>20000</v>
      </c>
      <c r="C41">
        <v>200</v>
      </c>
      <c r="D41" s="1">
        <v>0.46851298899999999</v>
      </c>
      <c r="E41" s="1">
        <v>0.46851300000000001</v>
      </c>
      <c r="F41" s="1">
        <v>341.50600700000001</v>
      </c>
      <c r="G41" s="1">
        <f t="shared" si="0"/>
        <v>-1.1000000021965661E-8</v>
      </c>
      <c r="I41">
        <v>20000</v>
      </c>
      <c r="J41">
        <v>20000</v>
      </c>
      <c r="K41">
        <v>200</v>
      </c>
      <c r="L41">
        <v>0.26273152</v>
      </c>
      <c r="M41">
        <v>0.26273200000000002</v>
      </c>
      <c r="N41">
        <v>608.98669500000005</v>
      </c>
      <c r="P41">
        <v>20000</v>
      </c>
      <c r="Q41">
        <v>20000</v>
      </c>
      <c r="R41">
        <v>200</v>
      </c>
      <c r="S41">
        <v>0.25547189799999998</v>
      </c>
      <c r="T41">
        <v>0.25547199999999998</v>
      </c>
      <c r="U41">
        <v>626.29197699999997</v>
      </c>
    </row>
  </sheetData>
  <autoFilter ref="A1:G41" xr:uid="{6A5C80BE-CB5F-449C-B25E-A53D40DC65A1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4B5E-2EC0-4C9E-B042-4CC0CE42893B}">
  <dimension ref="A3:E8"/>
  <sheetViews>
    <sheetView workbookViewId="0">
      <selection activeCell="D21" sqref="D21"/>
    </sheetView>
  </sheetViews>
  <sheetFormatPr defaultRowHeight="15" x14ac:dyDescent="0.25"/>
  <cols>
    <col min="1" max="2" width="7.85546875" bestFit="1" customWidth="1"/>
    <col min="3" max="3" width="4.28515625" bestFit="1" customWidth="1"/>
    <col min="4" max="4" width="18.140625" bestFit="1" customWidth="1"/>
    <col min="5" max="5" width="19.28515625" bestFit="1" customWidth="1"/>
  </cols>
  <sheetData>
    <row r="3" spans="1:5" x14ac:dyDescent="0.25">
      <c r="D3" s="4" t="s">
        <v>9</v>
      </c>
    </row>
    <row r="4" spans="1:5" x14ac:dyDescent="0.25">
      <c r="A4" s="4" t="s">
        <v>0</v>
      </c>
      <c r="B4" s="4" t="s">
        <v>1</v>
      </c>
      <c r="C4" s="4" t="s">
        <v>2</v>
      </c>
      <c r="D4" t="s">
        <v>7</v>
      </c>
      <c r="E4" t="s">
        <v>8</v>
      </c>
    </row>
    <row r="5" spans="1:5" x14ac:dyDescent="0.25">
      <c r="A5">
        <v>2000</v>
      </c>
      <c r="B5">
        <v>2000</v>
      </c>
      <c r="C5">
        <v>200</v>
      </c>
      <c r="D5">
        <v>26.807635900000001</v>
      </c>
      <c r="E5">
        <v>6.0307447599999994E-2</v>
      </c>
    </row>
    <row r="6" spans="1:5" x14ac:dyDescent="0.25">
      <c r="A6">
        <v>4000</v>
      </c>
      <c r="B6">
        <v>4000</v>
      </c>
      <c r="C6">
        <v>200</v>
      </c>
      <c r="D6">
        <v>66.867449999999991</v>
      </c>
      <c r="E6">
        <v>9.5885622799999987E-2</v>
      </c>
    </row>
    <row r="7" spans="1:5" x14ac:dyDescent="0.25">
      <c r="A7">
        <v>8000</v>
      </c>
      <c r="B7">
        <v>8000</v>
      </c>
      <c r="C7">
        <v>200</v>
      </c>
      <c r="D7">
        <v>149.5635771</v>
      </c>
      <c r="E7">
        <v>0.1711958505</v>
      </c>
    </row>
    <row r="8" spans="1:5" x14ac:dyDescent="0.25">
      <c r="A8">
        <v>20000</v>
      </c>
      <c r="B8">
        <v>20000</v>
      </c>
      <c r="C8">
        <v>200</v>
      </c>
      <c r="D8">
        <v>341.20142179999999</v>
      </c>
      <c r="E8">
        <v>0.46909741479999995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57553-A5BF-40DD-8924-F1E1359CD140}">
  <dimension ref="A3:D8"/>
  <sheetViews>
    <sheetView workbookViewId="0">
      <selection activeCell="A4" sqref="A4"/>
    </sheetView>
  </sheetViews>
  <sheetFormatPr defaultRowHeight="15" x14ac:dyDescent="0.25"/>
  <cols>
    <col min="1" max="2" width="7.85546875" bestFit="1" customWidth="1"/>
    <col min="3" max="3" width="4.28515625" bestFit="1" customWidth="1"/>
    <col min="4" max="4" width="12" bestFit="1" customWidth="1"/>
    <col min="5" max="5" width="19.28515625" bestFit="1" customWidth="1"/>
  </cols>
  <sheetData>
    <row r="3" spans="1:4" x14ac:dyDescent="0.25">
      <c r="A3" s="4" t="s">
        <v>8</v>
      </c>
    </row>
    <row r="4" spans="1:4" x14ac:dyDescent="0.25">
      <c r="A4" s="4" t="s">
        <v>0</v>
      </c>
      <c r="B4" s="4" t="s">
        <v>1</v>
      </c>
      <c r="C4" s="4" t="s">
        <v>2</v>
      </c>
      <c r="D4" t="s">
        <v>10</v>
      </c>
    </row>
    <row r="5" spans="1:4" x14ac:dyDescent="0.25">
      <c r="A5">
        <v>2000</v>
      </c>
      <c r="B5">
        <v>2000</v>
      </c>
      <c r="C5">
        <v>200</v>
      </c>
      <c r="D5">
        <v>6.0307447599999994E-2</v>
      </c>
    </row>
    <row r="6" spans="1:4" x14ac:dyDescent="0.25">
      <c r="A6">
        <v>4000</v>
      </c>
      <c r="B6">
        <v>4000</v>
      </c>
      <c r="C6">
        <v>200</v>
      </c>
      <c r="D6">
        <v>9.5885622799999987E-2</v>
      </c>
    </row>
    <row r="7" spans="1:4" x14ac:dyDescent="0.25">
      <c r="A7">
        <v>8000</v>
      </c>
      <c r="B7">
        <v>8000</v>
      </c>
      <c r="C7">
        <v>200</v>
      </c>
      <c r="D7">
        <v>0.1711958505</v>
      </c>
    </row>
    <row r="8" spans="1:4" x14ac:dyDescent="0.25">
      <c r="A8">
        <v>20000</v>
      </c>
      <c r="B8">
        <v>20000</v>
      </c>
      <c r="C8">
        <v>200</v>
      </c>
      <c r="D8">
        <v>0.46909741479999995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batch</vt:lpstr>
      <vt:lpstr>dati</vt:lpstr>
      <vt:lpstr>pivot</vt:lpstr>
      <vt:lpstr>pivot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2023-01-17T20:34:40Z</dcterms:created>
  <dcterms:modified xsi:type="dcterms:W3CDTF">2023-07-01T21:35:48Z</dcterms:modified>
</cp:coreProperties>
</file>